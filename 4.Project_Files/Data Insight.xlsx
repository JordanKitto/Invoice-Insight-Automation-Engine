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ealthqld.sharepoint.com/sites/CSD-AccountsPayable/Reporting/A001_Data_Analytics/A0017_PIOR/4. Project_Files/"/>
    </mc:Choice>
  </mc:AlternateContent>
  <xr:revisionPtr revIDLastSave="844" documentId="8_{044127FF-EB8D-45C1-B97C-105321731508}" xr6:coauthVersionLast="47" xr6:coauthVersionMax="47" xr10:uidLastSave="{F031EB65-F90D-49A6-B9A1-CAA5043BBCA4}"/>
  <bookViews>
    <workbookView xWindow="-51720" yWindow="210" windowWidth="51840" windowHeight="21120" tabRatio="859" firstSheet="1" activeTab="5" xr2:uid="{3B62FA93-2D3E-4B50-B6E4-AB4E7E76766D}"/>
  </bookViews>
  <sheets>
    <sheet name="Key Findings" sheetId="9" r:id="rId1"/>
    <sheet name="Glossary" sheetId="4" r:id="rId2"/>
    <sheet name="Table Legends" sheetId="7" r:id="rId3"/>
    <sheet name="Script Name" sheetId="6" r:id="rId4"/>
    <sheet name="Variable" sheetId="5" r:id="rId5"/>
    <sheet name="Transactions Master Data" sheetId="2" r:id="rId6"/>
    <sheet name="Original Invoice Data" sheetId="1" r:id="rId7"/>
    <sheet name="Changed Invoice Data" sheetId="3" r:id="rId8"/>
    <sheet name="A001 vs A007 Data" sheetId="8" r:id="rId9"/>
  </sheets>
  <definedNames>
    <definedName name="_xlnm._FilterDatabase" localSheetId="7" hidden="1">'Changed Invoice Data'!$A$1:$C$32</definedName>
    <definedName name="_xlnm._FilterDatabase" localSheetId="5" hidden="1">'Transactions Master Data'!$A$2:$C$36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8" l="1"/>
  <c r="B50" i="8"/>
  <c r="B41" i="8"/>
  <c r="B36" i="8"/>
  <c r="B24" i="8"/>
  <c r="B19" i="8"/>
  <c r="B11" i="8"/>
  <c r="B6" i="8"/>
</calcChain>
</file>

<file path=xl/sharedStrings.xml><?xml version="1.0" encoding="utf-8"?>
<sst xmlns="http://schemas.openxmlformats.org/spreadsheetml/2006/main" count="498" uniqueCount="260">
  <si>
    <t>Following are the key findings from A0001_Knime_Invoice_Training_Project</t>
  </si>
  <si>
    <t>Issue</t>
  </si>
  <si>
    <t>Key Finding</t>
  </si>
  <si>
    <t>Process Gap</t>
  </si>
  <si>
    <t>Impact</t>
  </si>
  <si>
    <t>Initially, the script captured first change that happened to the key fields</t>
  </si>
  <si>
    <t>Capture the changes to the key fields once the document is posted</t>
  </si>
  <si>
    <t>The OCR picked the correct vendor number. The current process followed by AP opertion invoice training team is if the vendor bank detail does not match the bank detail in vendor master, the team deletes the vendor number and forward the invoice to relavant area. The team will review the bank and reenter the correct vendor number.</t>
  </si>
  <si>
    <t>False Positive</t>
  </si>
  <si>
    <t>The Status field reflects incorrect status</t>
  </si>
  <si>
    <t>The status field should reflect status posted if a doucment has accounting document number associated with it.</t>
  </si>
  <si>
    <t>While working on the VIM dashboard it was identified that some invoices were open for prolonged period of time, While these items were investigated in VIM their status was not posted but they had and accounting document number and clearing document number associated with them, which meant that they were paid. It was identified the current VIM system has status mismatch issue. The Status in VIM 1 Head table, VIM 2 Head table and VIM 1 Log table have different status value</t>
  </si>
  <si>
    <t>Incorrect posted count</t>
  </si>
  <si>
    <t>Table Name</t>
  </si>
  <si>
    <t>Description</t>
  </si>
  <si>
    <t>Limitation</t>
  </si>
  <si>
    <t>Transactions Master Data</t>
  </si>
  <si>
    <t>The transaction master collect the latest information relavant to each invoice as at 12 midnight</t>
  </si>
  <si>
    <t>If the invoice enters the system previous day, and is changed before 12:00 midnight, the data will reflect the last updated information.</t>
  </si>
  <si>
    <t>Original Invoice Data</t>
  </si>
  <si>
    <t>The table stores all the important information needed the first time invoice hits the system</t>
  </si>
  <si>
    <t>&gt; If the invoice enters the system previous day, and is changed before 12:00 midnight, the data will reflect the last updated information.
&gt; If multiple changes have happed before 12 midnight, after the transaction has hit the vim system, it will record the last updated information.</t>
  </si>
  <si>
    <t>Layout_Master_v2</t>
  </si>
  <si>
    <t xml:space="preserve">Identifies the new layout id </t>
  </si>
  <si>
    <t>Layout_Master_Amended_v2</t>
  </si>
  <si>
    <t>Identifies the new layout id &amp; describes the type of invoice associated wih the layout e.g. Tax Invoice, Statement etc.</t>
  </si>
  <si>
    <t>&gt; Identifying the type of invoice is a manual process that has to be completed in VIM</t>
  </si>
  <si>
    <t>First_Touched_Transaction_List</t>
  </si>
  <si>
    <t>Last_Touched_Transaction_List</t>
  </si>
  <si>
    <t>9999_Transaction_List</t>
  </si>
  <si>
    <t>OTET_Original_Invoice_Data</t>
  </si>
  <si>
    <t>Change_Invoice_Data</t>
  </si>
  <si>
    <t>OTET_Change_Invoice_Data</t>
  </si>
  <si>
    <t>OTET_1Log_Transactions</t>
  </si>
  <si>
    <t>Performance_Report</t>
  </si>
  <si>
    <t>Touch_Report</t>
  </si>
  <si>
    <t>OTET_Zero_Touch</t>
  </si>
  <si>
    <t>Field Name</t>
  </si>
  <si>
    <t>Primary Key</t>
  </si>
  <si>
    <t>Original Invoice Data Fields</t>
  </si>
  <si>
    <t>Transaction Master Data Fields</t>
  </si>
  <si>
    <t>Script Name</t>
  </si>
  <si>
    <t>A0007_OCR_Optimisation_Report/S001_Transaction_Master</t>
  </si>
  <si>
    <t>A0007_OCR_Optimisation_Report/S002_Layout_Master</t>
  </si>
  <si>
    <t>A0007_OCR_Optimisation_Report/S003_1Log_Info_Prep</t>
  </si>
  <si>
    <t>A0007_OCR_Optimisation_Report/S004_Original_Invoice_Data</t>
  </si>
  <si>
    <t>A0007_OCR_Optimisation_Report/S005_Changed_Invoice_Data</t>
  </si>
  <si>
    <t>A0007_OCR_Optimisation_Report/S006_Potential_Issues</t>
  </si>
  <si>
    <t>A0007_OCR_Optimisation_Report/S007_Zero_Touch_Report</t>
  </si>
  <si>
    <t>Variable Name</t>
  </si>
  <si>
    <t>Base Location</t>
  </si>
  <si>
    <t>Value</t>
  </si>
  <si>
    <t>File Extension</t>
  </si>
  <si>
    <t>Var_Transaction_Master</t>
  </si>
  <si>
    <t>OneDrive - Queensland Health\A001_Data_Analytics\A0007_OCR_Optimisation_Report\</t>
  </si>
  <si>
    <t>Transaction_Master</t>
  </si>
  <si>
    <t>table</t>
  </si>
  <si>
    <t>Var_Transaction_Master_csv</t>
  </si>
  <si>
    <t>Transaction_Master_CSV</t>
  </si>
  <si>
    <t>csv</t>
  </si>
  <si>
    <t>Var_OTET_Transaction_Master</t>
  </si>
  <si>
    <t>OTET_Transaction_Master</t>
  </si>
  <si>
    <t>Var_OTET_Transaction_Master_csv</t>
  </si>
  <si>
    <t>OTET_Transaction_Master_CSV</t>
  </si>
  <si>
    <t>Var_Layout_Master_v2_xlsx</t>
  </si>
  <si>
    <t>xlsx</t>
  </si>
  <si>
    <t>Var_Layout_Master_Amended_v2_xlsx</t>
  </si>
  <si>
    <t>Var_First_Touched_Transaction_List</t>
  </si>
  <si>
    <t>Var_Last_Touched_Transaction_List</t>
  </si>
  <si>
    <t>Var_9999_Transaction_List</t>
  </si>
  <si>
    <t>Var_Original_Invoice_Data</t>
  </si>
  <si>
    <t>Original_Invoice_Data</t>
  </si>
  <si>
    <t>Var_Original_Invoice_Data_csv</t>
  </si>
  <si>
    <t>Original_Invoice_Data_CSV</t>
  </si>
  <si>
    <t>Var_OTET_Original_Invoice_Data</t>
  </si>
  <si>
    <t>Var_OTET_Original_Invoice_Data_csv</t>
  </si>
  <si>
    <t>OTET_Original_Invoice_Data_CSV</t>
  </si>
  <si>
    <t>Var_Change_Invoice_Data</t>
  </si>
  <si>
    <t>Var_Change_Invoice_Data_csv</t>
  </si>
  <si>
    <t>Change_Invoice_Data_CSV</t>
  </si>
  <si>
    <t>Var_OTET_Change_Invoice_Data</t>
  </si>
  <si>
    <t>Var_OTET_Change_Invoice_Data_csv</t>
  </si>
  <si>
    <t>OTET_Change_Invoice_Data_CSV</t>
  </si>
  <si>
    <t>Var_OTET_1Log_Transactions_csv</t>
  </si>
  <si>
    <t>OTET_1Log_Transactions_CSV</t>
  </si>
  <si>
    <t>Var_Performance_Report_csv</t>
  </si>
  <si>
    <t>Performance_Report_CSV</t>
  </si>
  <si>
    <t>Var_Touch_Report_csv</t>
  </si>
  <si>
    <t>Touch_Report_CSV</t>
  </si>
  <si>
    <t>Var_OTET_Zero_Touch_csv</t>
  </si>
  <si>
    <t>Var_OTET_Zero_Touch_CSV</t>
  </si>
  <si>
    <t>Transaction Master Table</t>
  </si>
  <si>
    <t>Transaction Master Data</t>
  </si>
  <si>
    <t>Source Table</t>
  </si>
  <si>
    <t>New Field Name</t>
  </si>
  <si>
    <t>LAYOUT_ID</t>
  </si>
  <si>
    <t>VIM_OTX_PF01_T_1REG_AP_VW</t>
  </si>
  <si>
    <t>Invoice Layout</t>
  </si>
  <si>
    <t>DOCID</t>
  </si>
  <si>
    <t>VIM_1HEAD_2HEAD_VW</t>
  </si>
  <si>
    <t>DP Number</t>
  </si>
  <si>
    <t>BUKRS</t>
  </si>
  <si>
    <t>Company Code</t>
  </si>
  <si>
    <t>OBJTXT</t>
  </si>
  <si>
    <t>VIM_STG_T101T_VW</t>
  </si>
  <si>
    <t>Status Text</t>
  </si>
  <si>
    <t>STATUS</t>
  </si>
  <si>
    <t>Status ID</t>
  </si>
  <si>
    <t>VEND_NAME</t>
  </si>
  <si>
    <t>Vendor Name</t>
  </si>
  <si>
    <t>VEND_NAME2</t>
  </si>
  <si>
    <t>Vendor Name 2</t>
  </si>
  <si>
    <t>VENDOR_VAT_NO</t>
  </si>
  <si>
    <t>Vendor ABN</t>
  </si>
  <si>
    <t>DOCTYPE</t>
  </si>
  <si>
    <t>Invoice Type</t>
  </si>
  <si>
    <t>MAIL_S</t>
  </si>
  <si>
    <t>Email</t>
  </si>
  <si>
    <t>INDEX_DATE</t>
  </si>
  <si>
    <t>Entry Date</t>
  </si>
  <si>
    <t>CHANGE_DATE</t>
  </si>
  <si>
    <t>Change Date</t>
  </si>
  <si>
    <t>BLART</t>
  </si>
  <si>
    <t>Document Type</t>
  </si>
  <si>
    <t>BLDAT</t>
  </si>
  <si>
    <t>Document Date</t>
  </si>
  <si>
    <t>BUDAT</t>
  </si>
  <si>
    <t>Posting Date</t>
  </si>
  <si>
    <t>XBLNR</t>
  </si>
  <si>
    <t>Invoice Number</t>
  </si>
  <si>
    <t>RMWWR</t>
  </si>
  <si>
    <t>Invoice Amount</t>
  </si>
  <si>
    <t>LIFNR</t>
  </si>
  <si>
    <t>Vendor Number</t>
  </si>
  <si>
    <t>EBELN</t>
  </si>
  <si>
    <t>PO Number</t>
  </si>
  <si>
    <t>DUE_DATE</t>
  </si>
  <si>
    <t>Invoice Due Date</t>
  </si>
  <si>
    <t>BARCODE</t>
  </si>
  <si>
    <t>Coding Group</t>
  </si>
  <si>
    <t>BELNR_FI</t>
  </si>
  <si>
    <t>Accounting Document Number</t>
  </si>
  <si>
    <t>SNAPSHOT_DT</t>
  </si>
  <si>
    <t>DSS Snapshot Date</t>
  </si>
  <si>
    <t>STCEG</t>
  </si>
  <si>
    <t>FS4_STG_LFA1_VW</t>
  </si>
  <si>
    <t>Vendor Master ABN</t>
  </si>
  <si>
    <t>SAP_PROC_STATUS</t>
  </si>
  <si>
    <t>LASTCHANGEDATETIME</t>
  </si>
  <si>
    <t>PS4_EKKO_LASTCHANGEDATETIME_VW</t>
  </si>
  <si>
    <t>PO Last Change Date Time</t>
  </si>
  <si>
    <t>OPT_VIM_1LOG_START_DATE_TIME (Invoice Entry Time Stamp)</t>
  </si>
  <si>
    <t>VIM_OPT_VIM_1LOG_VW</t>
  </si>
  <si>
    <t>Received Date Time</t>
  </si>
  <si>
    <t>KTOKK</t>
  </si>
  <si>
    <t>Vendor Group</t>
  </si>
  <si>
    <t>VBUND</t>
  </si>
  <si>
    <t>Trading Partner</t>
  </si>
  <si>
    <t>TYPE</t>
  </si>
  <si>
    <t>VIM_STG_BUT0ID_V</t>
  </si>
  <si>
    <t>OTET Vendor Indicator</t>
  </si>
  <si>
    <t>ENTRY_DATE</t>
  </si>
  <si>
    <t>OTET Vendor Entry Date</t>
  </si>
  <si>
    <t>VALID_DATE_FROM</t>
  </si>
  <si>
    <t>OTET Vendor Start Date</t>
  </si>
  <si>
    <t>VALID_DATE_TO</t>
  </si>
  <si>
    <t>OTET Vendor End Date</t>
  </si>
  <si>
    <t>TEXT1</t>
  </si>
  <si>
    <t>FS4_STG_T052U_VW</t>
  </si>
  <si>
    <t>Payment Terms Text</t>
  </si>
  <si>
    <t>Computed Field</t>
  </si>
  <si>
    <t>DateAsAt</t>
  </si>
  <si>
    <t>Date As At</t>
  </si>
  <si>
    <t>FIRST_TOUCHED_USER</t>
  </si>
  <si>
    <t>First Touched Date Time</t>
  </si>
  <si>
    <t>MIN_LOGID</t>
  </si>
  <si>
    <t>Log Line Item</t>
  </si>
  <si>
    <t>FIRST_TOUCHED_USER_DATE_TIME</t>
  </si>
  <si>
    <t>First Touched User</t>
  </si>
  <si>
    <t>FIRST_TOUCHED_USER_FIRST_NAME</t>
  </si>
  <si>
    <t>First Touched User First Name</t>
  </si>
  <si>
    <t>FIRST_TOUCHED_USER_LAST_NAME</t>
  </si>
  <si>
    <t>First Touched User Last Name</t>
  </si>
  <si>
    <t>FIRST_TOUCHED_USER_COST_CENTRE</t>
  </si>
  <si>
    <t>First Touched User Cost Centre</t>
  </si>
  <si>
    <t>FIRST_TOUCHED_USER_DEPARTMENT</t>
  </si>
  <si>
    <t>First Touched User Department</t>
  </si>
  <si>
    <t>Changed Invoice Data</t>
  </si>
  <si>
    <t>Table Source</t>
  </si>
  <si>
    <t>O_BLDAT</t>
  </si>
  <si>
    <t>O Document Date</t>
  </si>
  <si>
    <t>Transaction Master</t>
  </si>
  <si>
    <t>O_DOCTYPE</t>
  </si>
  <si>
    <t>O Invoice Type</t>
  </si>
  <si>
    <t>O_BUKRS</t>
  </si>
  <si>
    <t>O Company Code</t>
  </si>
  <si>
    <t>O_LIFNR</t>
  </si>
  <si>
    <t>O Vendor Number</t>
  </si>
  <si>
    <t>O_Vend_Name</t>
  </si>
  <si>
    <t>O_Vendor Name</t>
  </si>
  <si>
    <t>O_Vend_Name2</t>
  </si>
  <si>
    <t>O_Vendor Name2</t>
  </si>
  <si>
    <t>M_ABN</t>
  </si>
  <si>
    <t>O_VENDOR_VAT_NO</t>
  </si>
  <si>
    <t>O VAT Number</t>
  </si>
  <si>
    <t>VAT Number</t>
  </si>
  <si>
    <t>PO_LASTCHANGEDATETIME</t>
  </si>
  <si>
    <t>O_EBELN</t>
  </si>
  <si>
    <t>O PO Number</t>
  </si>
  <si>
    <t>O_XBLNR</t>
  </si>
  <si>
    <t>O Invoice Number</t>
  </si>
  <si>
    <t>O_RMWWR</t>
  </si>
  <si>
    <t>O Invoice Amount</t>
  </si>
  <si>
    <t>O_OBJTXT</t>
  </si>
  <si>
    <t>O Status Text</t>
  </si>
  <si>
    <t>Computed Fields</t>
  </si>
  <si>
    <t>IssueRectifiedDate</t>
  </si>
  <si>
    <t>Issue Rectified Date</t>
  </si>
  <si>
    <t>Invoice_Entry_Time_Stamp</t>
  </si>
  <si>
    <t>Consolidate Invoice Issue</t>
  </si>
  <si>
    <t>Obsolete, Cancelled, Confirmed Duplicate</t>
  </si>
  <si>
    <t>Count of Issues</t>
  </si>
  <si>
    <t>Cancelled</t>
  </si>
  <si>
    <t>Confirmed Duplicate</t>
  </si>
  <si>
    <t>Obsolete</t>
  </si>
  <si>
    <t>Status Changed to Obsolete or Confirmed Duplicate</t>
  </si>
  <si>
    <t>ABN</t>
  </si>
  <si>
    <t>Incorrect ABN</t>
  </si>
  <si>
    <t>Missing ABN</t>
  </si>
  <si>
    <t>Incorrect or Missing ABN</t>
  </si>
  <si>
    <t>Amount</t>
  </si>
  <si>
    <t>Incorrect Amount</t>
  </si>
  <si>
    <t>Incorrect or Missing Amount</t>
  </si>
  <si>
    <t>Incorrect Company Code</t>
  </si>
  <si>
    <t>Missing Company Code</t>
  </si>
  <si>
    <t>Incorrect or Missing Company Code</t>
  </si>
  <si>
    <t>Invoice Date</t>
  </si>
  <si>
    <t>Incorrect Invoice Date</t>
  </si>
  <si>
    <t>Missing Invoice Date</t>
  </si>
  <si>
    <t>Incorrect or Missing Invoice Date</t>
  </si>
  <si>
    <t>Incorrect Invoice Number</t>
  </si>
  <si>
    <t>Missing Invoice Number</t>
  </si>
  <si>
    <t>Incorrect or Missing Invoice Number</t>
  </si>
  <si>
    <t>PO</t>
  </si>
  <si>
    <t>Incorrect PO on Invoice or OCR Reading Issue</t>
  </si>
  <si>
    <t>Outside Date Range</t>
  </si>
  <si>
    <t>PO Not Read (PO inside 2 hour window)</t>
  </si>
  <si>
    <t>PO Not Read (PO not on Invoice or OCR Reading Issue)</t>
  </si>
  <si>
    <t>Incorrect or Missing PO</t>
  </si>
  <si>
    <t>Supplier</t>
  </si>
  <si>
    <t>Incorrect Supplier</t>
  </si>
  <si>
    <t>Missing Supplier</t>
  </si>
  <si>
    <t>Incorrect or Missing Supplier</t>
  </si>
  <si>
    <t>Potential Invoice Number</t>
  </si>
  <si>
    <t>Potential Incorrect Invoice Number</t>
  </si>
  <si>
    <t>Potential ABN</t>
  </si>
  <si>
    <t>Potential Master Data ABN Number Missing</t>
  </si>
  <si>
    <t>Potential Missing ABN Number</t>
  </si>
  <si>
    <t>Potential Incorrect ABN Number in Master Data</t>
  </si>
  <si>
    <t>Potentially Incorrect or Missing ABN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</si>
</sst>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sz val="9"/>
      <color rgb="FF000000"/>
      <name val="Arial"/>
      <family val="2"/>
    </font>
    <font>
      <sz val="9"/>
      <color rgb="FFFF0000"/>
      <name val="Arial"/>
      <family val="2"/>
    </font>
    <font>
      <b/>
      <sz val="11"/>
      <color theme="0"/>
      <name val="Calibri"/>
      <family val="2"/>
      <scheme val="minor"/>
    </font>
    <font>
      <b/>
      <sz val="11"/>
      <color rgb="FFFF0000"/>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5"/>
        <bgColor theme="5"/>
      </patternFill>
    </fill>
    <fill>
      <patternFill patternType="solid">
        <fgColor rgb="FFFFFF00"/>
        <bgColor indexed="64"/>
      </patternFill>
    </fill>
  </fills>
  <borders count="5">
    <border>
      <left/>
      <right/>
      <top/>
      <bottom/>
      <diagonal/>
    </border>
    <border>
      <left/>
      <right/>
      <top style="thin">
        <color indexed="64"/>
      </top>
      <bottom style="double">
        <color indexed="64"/>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s>
  <cellStyleXfs count="1">
    <xf numFmtId="0" fontId="0" fillId="0" borderId="0"/>
  </cellStyleXfs>
  <cellXfs count="44">
    <xf numFmtId="0" fontId="0" fillId="0" borderId="0" xfId="0"/>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1" fillId="0" borderId="0" xfId="0" applyFont="1"/>
    <xf numFmtId="0" fontId="0" fillId="0" borderId="0" xfId="0" applyAlignment="1">
      <alignment vertical="center" wrapText="1"/>
    </xf>
    <xf numFmtId="0" fontId="1" fillId="0" borderId="0" xfId="0" applyFont="1" applyAlignment="1">
      <alignment vertical="center" wrapText="1"/>
    </xf>
    <xf numFmtId="0" fontId="0" fillId="2" borderId="0" xfId="0" applyFill="1"/>
    <xf numFmtId="0" fontId="0" fillId="5" borderId="0" xfId="0" applyFill="1"/>
    <xf numFmtId="0" fontId="0" fillId="5" borderId="0" xfId="0" applyFill="1" applyAlignment="1">
      <alignment vertical="center" wrapText="1"/>
    </xf>
    <xf numFmtId="0" fontId="0" fillId="6" borderId="0" xfId="0" applyFill="1"/>
    <xf numFmtId="0" fontId="0" fillId="6" borderId="0" xfId="0" applyFill="1" applyAlignment="1">
      <alignment vertical="center" wrapText="1"/>
    </xf>
    <xf numFmtId="0" fontId="0" fillId="3" borderId="0" xfId="0" applyFill="1"/>
    <xf numFmtId="0" fontId="0" fillId="4" borderId="0" xfId="0" applyFill="1"/>
    <xf numFmtId="0" fontId="0" fillId="7" borderId="0" xfId="0" applyFill="1"/>
    <xf numFmtId="0" fontId="0" fillId="7" borderId="0" xfId="0" applyFill="1" applyAlignment="1">
      <alignment vertical="center" wrapText="1"/>
    </xf>
    <xf numFmtId="0" fontId="0" fillId="8" borderId="0" xfId="0" applyFill="1"/>
    <xf numFmtId="0" fontId="0" fillId="8" borderId="0" xfId="0" applyFill="1" applyAlignment="1">
      <alignment vertical="center" wrapText="1"/>
    </xf>
    <xf numFmtId="0" fontId="1" fillId="0" borderId="0" xfId="0" applyFont="1" applyAlignment="1">
      <alignment horizontal="left" vertical="center"/>
    </xf>
    <xf numFmtId="0" fontId="0" fillId="0" borderId="0" xfId="0" applyAlignment="1">
      <alignment horizontal="left" vertical="center"/>
    </xf>
    <xf numFmtId="0" fontId="0" fillId="4" borderId="0" xfId="0" applyFill="1" applyAlignment="1">
      <alignment horizontal="left" vertical="center" wrapText="1"/>
    </xf>
    <xf numFmtId="0" fontId="0" fillId="3" borderId="0" xfId="0" applyFill="1" applyAlignment="1">
      <alignment horizontal="left" vertical="center" wrapText="1"/>
    </xf>
    <xf numFmtId="0" fontId="0" fillId="8" borderId="0" xfId="0" applyFill="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xf>
    <xf numFmtId="0" fontId="2" fillId="0" borderId="0" xfId="0" applyFont="1" applyAlignment="1">
      <alignment horizontal="left" vertical="center" wrapText="1"/>
    </xf>
    <xf numFmtId="0" fontId="0" fillId="8" borderId="0" xfId="0" applyFill="1" applyAlignment="1">
      <alignment horizontal="left" vertical="center"/>
    </xf>
    <xf numFmtId="0" fontId="0" fillId="4" borderId="0" xfId="0" applyFill="1" applyAlignment="1">
      <alignment horizontal="left" vertical="center"/>
    </xf>
    <xf numFmtId="0" fontId="0" fillId="3" borderId="0" xfId="0" applyFill="1" applyAlignment="1">
      <alignment horizontal="left" vertical="center"/>
    </xf>
    <xf numFmtId="0" fontId="0" fillId="6" borderId="0" xfId="0" applyFill="1" applyAlignment="1">
      <alignment horizontal="left" vertical="center" wrapText="1"/>
    </xf>
    <xf numFmtId="0" fontId="0" fillId="0" borderId="1" xfId="0" applyBorder="1"/>
    <xf numFmtId="0" fontId="0" fillId="0" borderId="1" xfId="0" applyBorder="1" applyAlignment="1">
      <alignment vertical="center" wrapText="1"/>
    </xf>
    <xf numFmtId="0" fontId="1" fillId="0" borderId="0" xfId="0" applyFont="1" applyAlignment="1">
      <alignment wrapText="1"/>
    </xf>
    <xf numFmtId="0" fontId="0" fillId="0" borderId="0" xfId="0" applyAlignment="1">
      <alignment wrapText="1"/>
    </xf>
    <xf numFmtId="0" fontId="5" fillId="9" borderId="3" xfId="0" applyFont="1" applyFill="1" applyBorder="1" applyAlignment="1">
      <alignment wrapText="1"/>
    </xf>
    <xf numFmtId="0" fontId="5" fillId="9" borderId="2" xfId="0" applyFont="1" applyFill="1" applyBorder="1" applyAlignment="1">
      <alignment wrapText="1"/>
    </xf>
    <xf numFmtId="0" fontId="5" fillId="9" borderId="4" xfId="0" applyFont="1" applyFill="1" applyBorder="1" applyAlignment="1">
      <alignment wrapText="1"/>
    </xf>
    <xf numFmtId="0" fontId="6" fillId="0" borderId="0" xfId="0" applyFont="1" applyAlignment="1">
      <alignment wrapText="1"/>
    </xf>
    <xf numFmtId="0" fontId="0" fillId="0" borderId="0" xfId="0" applyAlignment="1">
      <alignment horizontal="left" vertical="top" wrapText="1"/>
    </xf>
    <xf numFmtId="0" fontId="0" fillId="0" borderId="0" xfId="0" applyAlignment="1">
      <alignment horizontal="left" vertical="top"/>
    </xf>
    <xf numFmtId="0" fontId="0" fillId="10" borderId="0" xfId="0" applyFill="1" applyAlignment="1">
      <alignment horizontal="left" vertical="center" wrapText="1"/>
    </xf>
    <xf numFmtId="0" fontId="1" fillId="0" borderId="0" xfId="0" applyFont="1" applyAlignment="1">
      <alignment horizontal="left" vertical="center"/>
    </xf>
    <xf numFmtId="0" fontId="0" fillId="0" borderId="0" xfId="0" applyAlignment="1">
      <alignment horizontal="center"/>
    </xf>
  </cellXfs>
  <cellStyles count="1">
    <cellStyle name="Normal" xfId="0" builtinId="0"/>
  </cellStyles>
  <dxfs count="10">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D110C2-18E2-442C-960E-01955F196A34}" name="Table2" displayName="Table2" ref="A2:D4" totalsRowShown="0" headerRowDxfId="9" dataDxfId="8">
  <autoFilter ref="A2:D4" xr:uid="{1ED110C2-18E2-442C-960E-01955F196A34}"/>
  <tableColumns count="4">
    <tableColumn id="1" xr3:uid="{193A7FE0-79DF-4A9E-B2B7-EB9CA5C5FC0E}" name="Issue" dataDxfId="7"/>
    <tableColumn id="2" xr3:uid="{ED153869-83AE-42EA-9F6C-2C06574C3C15}" name="Key Finding" dataDxfId="6"/>
    <tableColumn id="3" xr3:uid="{273860DD-6CB1-4394-88BF-D3F2CE9E4B1B}" name="Process Gap" dataDxfId="5"/>
    <tableColumn id="4" xr3:uid="{8E925220-59A6-4720-9548-7EF860735F7C}" name="Impact"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D5F63-D2A1-44CC-ABB9-20C5AB294C4F}" name="Table1" displayName="Table1" ref="A1:C16" totalsRowShown="0" headerRowDxfId="3">
  <autoFilter ref="A1:C16" xr:uid="{574D5F63-D2A1-44CC-ABB9-20C5AB294C4F}"/>
  <tableColumns count="3">
    <tableColumn id="1" xr3:uid="{B4C85CEC-E2EB-49E6-89BF-05989634450C}" name="Table Name" dataDxfId="2"/>
    <tableColumn id="2" xr3:uid="{09495059-B2B3-4CE8-95F5-D452FBB3F463}" name="Description" dataDxfId="1"/>
    <tableColumn id="3" xr3:uid="{A28F1488-2B2B-4E86-B8D3-E0CA838D8D1F}" name="Limitation"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185C0-61C1-4662-95F6-CE83AE4C7BD4}">
  <sheetPr>
    <tabColor rgb="FF7030A0"/>
  </sheetPr>
  <dimension ref="A1:D4"/>
  <sheetViews>
    <sheetView workbookViewId="0">
      <selection activeCell="B10" sqref="B10"/>
    </sheetView>
  </sheetViews>
  <sheetFormatPr defaultRowHeight="15" x14ac:dyDescent="0.25"/>
  <cols>
    <col min="1" max="1" width="38.7109375" customWidth="1"/>
    <col min="2" max="2" width="60.42578125" customWidth="1"/>
    <col min="3" max="3" width="103.28515625" customWidth="1"/>
    <col min="4" max="4" width="34" customWidth="1"/>
  </cols>
  <sheetData>
    <row r="1" spans="1:4" x14ac:dyDescent="0.25">
      <c r="B1" t="s">
        <v>0</v>
      </c>
    </row>
    <row r="2" spans="1:4" x14ac:dyDescent="0.25">
      <c r="A2" s="4" t="s">
        <v>1</v>
      </c>
      <c r="B2" s="4" t="s">
        <v>2</v>
      </c>
      <c r="C2" s="4" t="s">
        <v>3</v>
      </c>
      <c r="D2" s="4" t="s">
        <v>4</v>
      </c>
    </row>
    <row r="3" spans="1:4" ht="45" x14ac:dyDescent="0.25">
      <c r="A3" s="39" t="s">
        <v>5</v>
      </c>
      <c r="B3" s="39" t="s">
        <v>6</v>
      </c>
      <c r="C3" s="39" t="s">
        <v>7</v>
      </c>
      <c r="D3" s="39" t="s">
        <v>8</v>
      </c>
    </row>
    <row r="4" spans="1:4" ht="75" x14ac:dyDescent="0.25">
      <c r="A4" s="40" t="s">
        <v>9</v>
      </c>
      <c r="B4" s="39" t="s">
        <v>10</v>
      </c>
      <c r="C4" s="39" t="s">
        <v>11</v>
      </c>
      <c r="D4" s="40"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5B4A-B7F1-4C59-A686-064108EDB7A1}">
  <sheetPr>
    <tabColor rgb="FFC00000"/>
  </sheetPr>
  <dimension ref="A1:C19"/>
  <sheetViews>
    <sheetView zoomScale="115" zoomScaleNormal="115" workbookViewId="0">
      <selection activeCell="B3" sqref="B3"/>
    </sheetView>
  </sheetViews>
  <sheetFormatPr defaultRowHeight="15" x14ac:dyDescent="0.25"/>
  <cols>
    <col min="1" max="1" width="27.42578125" style="34" customWidth="1"/>
    <col min="2" max="2" width="47.5703125" style="34" customWidth="1"/>
    <col min="3" max="3" width="71.140625" style="34" customWidth="1"/>
    <col min="4" max="16384" width="9.140625" style="34"/>
  </cols>
  <sheetData>
    <row r="1" spans="1:3" x14ac:dyDescent="0.25">
      <c r="A1" s="33" t="s">
        <v>13</v>
      </c>
      <c r="B1" s="33" t="s">
        <v>14</v>
      </c>
      <c r="C1" s="33" t="s">
        <v>15</v>
      </c>
    </row>
    <row r="2" spans="1:3" ht="45" x14ac:dyDescent="0.25">
      <c r="A2" s="33" t="s">
        <v>16</v>
      </c>
      <c r="B2" s="34" t="s">
        <v>17</v>
      </c>
      <c r="C2" s="34" t="s">
        <v>18</v>
      </c>
    </row>
    <row r="3" spans="1:3" ht="60" x14ac:dyDescent="0.25">
      <c r="A3" s="33" t="s">
        <v>19</v>
      </c>
      <c r="B3" s="34" t="s">
        <v>20</v>
      </c>
      <c r="C3" s="34" t="s">
        <v>21</v>
      </c>
    </row>
    <row r="4" spans="1:3" x14ac:dyDescent="0.25">
      <c r="A4" s="33" t="s">
        <v>22</v>
      </c>
      <c r="B4" s="34" t="s">
        <v>23</v>
      </c>
    </row>
    <row r="5" spans="1:3" ht="45" x14ac:dyDescent="0.25">
      <c r="A5" s="33" t="s">
        <v>24</v>
      </c>
      <c r="B5" s="34" t="s">
        <v>25</v>
      </c>
      <c r="C5" s="34" t="s">
        <v>26</v>
      </c>
    </row>
    <row r="6" spans="1:3" ht="30" x14ac:dyDescent="0.25">
      <c r="A6" s="33" t="s">
        <v>27</v>
      </c>
    </row>
    <row r="7" spans="1:3" ht="30" x14ac:dyDescent="0.25">
      <c r="A7" s="33" t="s">
        <v>28</v>
      </c>
    </row>
    <row r="8" spans="1:3" x14ac:dyDescent="0.25">
      <c r="A8" s="33" t="s">
        <v>29</v>
      </c>
    </row>
    <row r="9" spans="1:3" x14ac:dyDescent="0.25">
      <c r="A9" s="33" t="s">
        <v>30</v>
      </c>
    </row>
    <row r="10" spans="1:3" x14ac:dyDescent="0.25">
      <c r="A10" s="33" t="s">
        <v>31</v>
      </c>
    </row>
    <row r="11" spans="1:3" x14ac:dyDescent="0.25">
      <c r="A11" s="33" t="s">
        <v>32</v>
      </c>
    </row>
    <row r="12" spans="1:3" x14ac:dyDescent="0.25">
      <c r="A12" s="33"/>
    </row>
    <row r="13" spans="1:3" x14ac:dyDescent="0.25">
      <c r="A13" s="38" t="s">
        <v>33</v>
      </c>
    </row>
    <row r="14" spans="1:3" x14ac:dyDescent="0.25">
      <c r="A14" s="38" t="s">
        <v>34</v>
      </c>
    </row>
    <row r="15" spans="1:3" x14ac:dyDescent="0.25">
      <c r="A15" s="38" t="s">
        <v>35</v>
      </c>
    </row>
    <row r="16" spans="1:3" x14ac:dyDescent="0.25">
      <c r="A16" s="38" t="s">
        <v>36</v>
      </c>
    </row>
    <row r="17" spans="1:3" x14ac:dyDescent="0.25">
      <c r="A17" s="33"/>
    </row>
    <row r="19" spans="1:3" x14ac:dyDescent="0.25">
      <c r="A19" s="35" t="s">
        <v>37</v>
      </c>
      <c r="B19" s="36" t="s">
        <v>14</v>
      </c>
      <c r="C19" s="37"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1E83-0F04-453E-8FD2-5F4754BFD4EA}">
  <sheetPr>
    <tabColor rgb="FFC00000"/>
  </sheetPr>
  <dimension ref="A1:A3"/>
  <sheetViews>
    <sheetView workbookViewId="0">
      <selection sqref="A1:A3"/>
    </sheetView>
  </sheetViews>
  <sheetFormatPr defaultRowHeight="15" x14ac:dyDescent="0.25"/>
  <cols>
    <col min="1" max="1" width="28.42578125" bestFit="1" customWidth="1"/>
  </cols>
  <sheetData>
    <row r="1" spans="1:1" x14ac:dyDescent="0.25">
      <c r="A1" s="27" t="s">
        <v>38</v>
      </c>
    </row>
    <row r="2" spans="1:1" x14ac:dyDescent="0.25">
      <c r="A2" s="28" t="s">
        <v>39</v>
      </c>
    </row>
    <row r="3" spans="1:1" x14ac:dyDescent="0.25">
      <c r="A3" s="29"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2B2D-4B42-4A24-8747-45F042FFFEA9}">
  <sheetPr>
    <tabColor rgb="FFC00000"/>
  </sheetPr>
  <dimension ref="A1:A8"/>
  <sheetViews>
    <sheetView workbookViewId="0">
      <selection activeCell="A26" sqref="A26"/>
    </sheetView>
  </sheetViews>
  <sheetFormatPr defaultRowHeight="15" x14ac:dyDescent="0.25"/>
  <cols>
    <col min="1" max="1" width="58.140625" bestFit="1" customWidth="1"/>
  </cols>
  <sheetData>
    <row r="1" spans="1:1" x14ac:dyDescent="0.25">
      <c r="A1" s="6" t="s">
        <v>41</v>
      </c>
    </row>
    <row r="2" spans="1:1" x14ac:dyDescent="0.25">
      <c r="A2" s="7" t="s">
        <v>42</v>
      </c>
    </row>
    <row r="3" spans="1:1" x14ac:dyDescent="0.25">
      <c r="A3" s="8" t="s">
        <v>43</v>
      </c>
    </row>
    <row r="4" spans="1:1" x14ac:dyDescent="0.25">
      <c r="A4" s="10" t="s">
        <v>44</v>
      </c>
    </row>
    <row r="5" spans="1:1" x14ac:dyDescent="0.25">
      <c r="A5" s="12" t="s">
        <v>45</v>
      </c>
    </row>
    <row r="6" spans="1:1" x14ac:dyDescent="0.25">
      <c r="A6" s="13" t="s">
        <v>46</v>
      </c>
    </row>
    <row r="7" spans="1:1" x14ac:dyDescent="0.25">
      <c r="A7" s="14" t="s">
        <v>47</v>
      </c>
    </row>
    <row r="8" spans="1:1" x14ac:dyDescent="0.25">
      <c r="A8" s="16" t="s">
        <v>48</v>
      </c>
    </row>
  </sheetData>
  <sortState xmlns:xlrd2="http://schemas.microsoft.com/office/spreadsheetml/2017/richdata2" ref="A2:A22">
    <sortCondition ref="A2:A22"/>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1256-72D8-46EA-9F3E-B8009A7B33E4}">
  <sheetPr>
    <tabColor rgb="FFC00000"/>
  </sheetPr>
  <dimension ref="A1:E38"/>
  <sheetViews>
    <sheetView zoomScale="130" zoomScaleNormal="130" workbookViewId="0">
      <selection activeCell="D18" sqref="D18"/>
    </sheetView>
  </sheetViews>
  <sheetFormatPr defaultColWidth="86.28515625" defaultRowHeight="15" x14ac:dyDescent="0.25"/>
  <cols>
    <col min="1" max="1" width="58.140625" bestFit="1" customWidth="1"/>
    <col min="2" max="2" width="36" bestFit="1" customWidth="1"/>
    <col min="3" max="3" width="80.85546875" bestFit="1" customWidth="1"/>
    <col min="4" max="4" width="31" bestFit="1" customWidth="1"/>
    <col min="5" max="5" width="13.5703125" bestFit="1" customWidth="1"/>
  </cols>
  <sheetData>
    <row r="1" spans="1:5" x14ac:dyDescent="0.25">
      <c r="A1" s="6" t="s">
        <v>41</v>
      </c>
      <c r="B1" s="6" t="s">
        <v>49</v>
      </c>
      <c r="C1" s="6" t="s">
        <v>50</v>
      </c>
      <c r="D1" s="6" t="s">
        <v>51</v>
      </c>
      <c r="E1" s="6" t="s">
        <v>52</v>
      </c>
    </row>
    <row r="2" spans="1:5" x14ac:dyDescent="0.25">
      <c r="A2" s="7" t="s">
        <v>42</v>
      </c>
      <c r="B2" s="1" t="s">
        <v>53</v>
      </c>
      <c r="C2" s="1" t="s">
        <v>54</v>
      </c>
      <c r="D2" s="1" t="s">
        <v>55</v>
      </c>
      <c r="E2" s="1" t="s">
        <v>56</v>
      </c>
    </row>
    <row r="3" spans="1:5" x14ac:dyDescent="0.25">
      <c r="A3" s="7"/>
      <c r="B3" s="1" t="s">
        <v>57</v>
      </c>
      <c r="C3" s="1" t="s">
        <v>54</v>
      </c>
      <c r="D3" s="1" t="s">
        <v>58</v>
      </c>
      <c r="E3" s="1" t="s">
        <v>59</v>
      </c>
    </row>
    <row r="4" spans="1:5" x14ac:dyDescent="0.25">
      <c r="A4" s="7"/>
      <c r="B4" s="1" t="s">
        <v>60</v>
      </c>
      <c r="C4" s="1" t="s">
        <v>54</v>
      </c>
      <c r="D4" s="1" t="s">
        <v>61</v>
      </c>
      <c r="E4" s="1" t="s">
        <v>56</v>
      </c>
    </row>
    <row r="5" spans="1:5" x14ac:dyDescent="0.25">
      <c r="A5" s="7"/>
      <c r="B5" s="1" t="s">
        <v>62</v>
      </c>
      <c r="C5" s="1" t="s">
        <v>54</v>
      </c>
      <c r="D5" s="1" t="s">
        <v>63</v>
      </c>
      <c r="E5" s="1" t="s">
        <v>59</v>
      </c>
    </row>
    <row r="6" spans="1:5" x14ac:dyDescent="0.25">
      <c r="A6" s="8" t="s">
        <v>43</v>
      </c>
      <c r="B6" s="9" t="s">
        <v>64</v>
      </c>
      <c r="C6" s="9" t="s">
        <v>54</v>
      </c>
      <c r="D6" s="9" t="s">
        <v>22</v>
      </c>
      <c r="E6" s="9" t="s">
        <v>65</v>
      </c>
    </row>
    <row r="7" spans="1:5" x14ac:dyDescent="0.25">
      <c r="A7" s="8"/>
      <c r="B7" s="9" t="s">
        <v>66</v>
      </c>
      <c r="C7" s="9" t="s">
        <v>54</v>
      </c>
      <c r="D7" s="9" t="s">
        <v>24</v>
      </c>
      <c r="E7" s="9" t="s">
        <v>65</v>
      </c>
    </row>
    <row r="8" spans="1:5" x14ac:dyDescent="0.25">
      <c r="A8" s="10" t="s">
        <v>44</v>
      </c>
      <c r="B8" s="11" t="s">
        <v>67</v>
      </c>
      <c r="C8" s="11" t="s">
        <v>54</v>
      </c>
      <c r="D8" s="11" t="s">
        <v>27</v>
      </c>
      <c r="E8" s="11" t="s">
        <v>56</v>
      </c>
    </row>
    <row r="9" spans="1:5" x14ac:dyDescent="0.25">
      <c r="A9" s="10"/>
      <c r="B9" s="11" t="s">
        <v>68</v>
      </c>
      <c r="C9" s="11" t="s">
        <v>54</v>
      </c>
      <c r="D9" s="11" t="s">
        <v>28</v>
      </c>
      <c r="E9" s="11" t="s">
        <v>56</v>
      </c>
    </row>
    <row r="10" spans="1:5" x14ac:dyDescent="0.25">
      <c r="A10" s="10"/>
      <c r="B10" s="11" t="s">
        <v>69</v>
      </c>
      <c r="C10" s="11" t="s">
        <v>54</v>
      </c>
      <c r="D10" s="11" t="s">
        <v>29</v>
      </c>
      <c r="E10" s="11" t="s">
        <v>56</v>
      </c>
    </row>
    <row r="11" spans="1:5" x14ac:dyDescent="0.25">
      <c r="A11" s="12" t="s">
        <v>45</v>
      </c>
      <c r="B11" s="2" t="s">
        <v>70</v>
      </c>
      <c r="C11" s="2" t="s">
        <v>54</v>
      </c>
      <c r="D11" s="2" t="s">
        <v>71</v>
      </c>
      <c r="E11" s="2" t="s">
        <v>56</v>
      </c>
    </row>
    <row r="12" spans="1:5" x14ac:dyDescent="0.25">
      <c r="A12" s="12"/>
      <c r="B12" s="2" t="s">
        <v>72</v>
      </c>
      <c r="C12" s="2" t="s">
        <v>54</v>
      </c>
      <c r="D12" s="2" t="s">
        <v>73</v>
      </c>
      <c r="E12" s="2" t="s">
        <v>59</v>
      </c>
    </row>
    <row r="13" spans="1:5" x14ac:dyDescent="0.25">
      <c r="A13" s="12"/>
      <c r="B13" s="2" t="s">
        <v>74</v>
      </c>
      <c r="C13" s="2" t="s">
        <v>54</v>
      </c>
      <c r="D13" s="2" t="s">
        <v>30</v>
      </c>
      <c r="E13" s="2" t="s">
        <v>56</v>
      </c>
    </row>
    <row r="14" spans="1:5" x14ac:dyDescent="0.25">
      <c r="A14" s="12"/>
      <c r="B14" s="2" t="s">
        <v>75</v>
      </c>
      <c r="C14" s="2" t="s">
        <v>54</v>
      </c>
      <c r="D14" s="2" t="s">
        <v>76</v>
      </c>
      <c r="E14" s="2" t="s">
        <v>59</v>
      </c>
    </row>
    <row r="15" spans="1:5" x14ac:dyDescent="0.25">
      <c r="A15" s="13" t="s">
        <v>46</v>
      </c>
      <c r="B15" s="3" t="s">
        <v>77</v>
      </c>
      <c r="C15" s="3" t="s">
        <v>54</v>
      </c>
      <c r="D15" s="3" t="s">
        <v>31</v>
      </c>
      <c r="E15" s="3" t="s">
        <v>56</v>
      </c>
    </row>
    <row r="16" spans="1:5" x14ac:dyDescent="0.25">
      <c r="A16" s="13"/>
      <c r="B16" s="3" t="s">
        <v>78</v>
      </c>
      <c r="C16" s="3" t="s">
        <v>54</v>
      </c>
      <c r="D16" s="3" t="s">
        <v>79</v>
      </c>
      <c r="E16" s="3" t="s">
        <v>59</v>
      </c>
    </row>
    <row r="17" spans="1:5" x14ac:dyDescent="0.25">
      <c r="A17" s="13"/>
      <c r="B17" s="3" t="s">
        <v>80</v>
      </c>
      <c r="C17" s="3" t="s">
        <v>54</v>
      </c>
      <c r="D17" s="3" t="s">
        <v>32</v>
      </c>
      <c r="E17" s="3" t="s">
        <v>56</v>
      </c>
    </row>
    <row r="18" spans="1:5" x14ac:dyDescent="0.25">
      <c r="A18" s="13"/>
      <c r="B18" s="3" t="s">
        <v>81</v>
      </c>
      <c r="C18" s="3" t="s">
        <v>54</v>
      </c>
      <c r="D18" s="3" t="s">
        <v>82</v>
      </c>
      <c r="E18" s="3" t="s">
        <v>59</v>
      </c>
    </row>
    <row r="19" spans="1:5" x14ac:dyDescent="0.25">
      <c r="A19" s="14" t="s">
        <v>47</v>
      </c>
      <c r="B19" s="15" t="s">
        <v>77</v>
      </c>
      <c r="C19" s="15" t="s">
        <v>54</v>
      </c>
      <c r="D19" s="15" t="s">
        <v>31</v>
      </c>
      <c r="E19" s="15" t="s">
        <v>56</v>
      </c>
    </row>
    <row r="20" spans="1:5" x14ac:dyDescent="0.25">
      <c r="A20" s="14"/>
      <c r="B20" s="15" t="s">
        <v>78</v>
      </c>
      <c r="C20" s="15" t="s">
        <v>54</v>
      </c>
      <c r="D20" s="15" t="s">
        <v>79</v>
      </c>
      <c r="E20" s="15" t="s">
        <v>59</v>
      </c>
    </row>
    <row r="21" spans="1:5" x14ac:dyDescent="0.25">
      <c r="A21" s="14"/>
      <c r="B21" s="15" t="s">
        <v>80</v>
      </c>
      <c r="C21" s="15" t="s">
        <v>54</v>
      </c>
      <c r="D21" s="15" t="s">
        <v>32</v>
      </c>
      <c r="E21" s="15" t="s">
        <v>56</v>
      </c>
    </row>
    <row r="22" spans="1:5" x14ac:dyDescent="0.25">
      <c r="A22" s="14"/>
      <c r="B22" s="15" t="s">
        <v>81</v>
      </c>
      <c r="C22" s="15" t="s">
        <v>54</v>
      </c>
      <c r="D22" s="15" t="s">
        <v>82</v>
      </c>
      <c r="E22" s="15" t="s">
        <v>59</v>
      </c>
    </row>
    <row r="23" spans="1:5" x14ac:dyDescent="0.25">
      <c r="A23" s="16" t="s">
        <v>48</v>
      </c>
      <c r="B23" s="16" t="s">
        <v>83</v>
      </c>
      <c r="C23" s="17" t="s">
        <v>54</v>
      </c>
      <c r="D23" s="16" t="s">
        <v>84</v>
      </c>
      <c r="E23" s="17" t="s">
        <v>59</v>
      </c>
    </row>
    <row r="24" spans="1:5" x14ac:dyDescent="0.25">
      <c r="A24" s="17"/>
      <c r="B24" s="16" t="s">
        <v>85</v>
      </c>
      <c r="C24" s="17" t="s">
        <v>54</v>
      </c>
      <c r="D24" s="16" t="s">
        <v>86</v>
      </c>
      <c r="E24" s="17" t="s">
        <v>59</v>
      </c>
    </row>
    <row r="25" spans="1:5" x14ac:dyDescent="0.25">
      <c r="A25" s="17"/>
      <c r="B25" s="16" t="s">
        <v>87</v>
      </c>
      <c r="C25" s="17" t="s">
        <v>54</v>
      </c>
      <c r="D25" s="16" t="s">
        <v>88</v>
      </c>
      <c r="E25" s="17" t="s">
        <v>59</v>
      </c>
    </row>
    <row r="26" spans="1:5" x14ac:dyDescent="0.25">
      <c r="A26" s="17"/>
      <c r="B26" s="16" t="s">
        <v>89</v>
      </c>
      <c r="C26" s="17" t="s">
        <v>54</v>
      </c>
      <c r="D26" s="16" t="s">
        <v>90</v>
      </c>
      <c r="E26" s="17" t="s">
        <v>59</v>
      </c>
    </row>
    <row r="27" spans="1:5" x14ac:dyDescent="0.25">
      <c r="A27" s="5"/>
    </row>
    <row r="28" spans="1:5" x14ac:dyDescent="0.25">
      <c r="A28" s="5"/>
      <c r="B28" s="5"/>
      <c r="C28" s="5"/>
      <c r="D28" s="5"/>
    </row>
    <row r="29" spans="1:5" x14ac:dyDescent="0.25">
      <c r="A29" s="5"/>
    </row>
    <row r="30" spans="1:5" x14ac:dyDescent="0.25">
      <c r="A30" s="5"/>
    </row>
    <row r="31" spans="1:5" x14ac:dyDescent="0.25">
      <c r="A31" s="5"/>
    </row>
    <row r="32" spans="1:5" x14ac:dyDescent="0.25">
      <c r="A32" s="5"/>
    </row>
    <row r="33" spans="1:5" x14ac:dyDescent="0.25">
      <c r="A33" s="5"/>
      <c r="B33" s="5"/>
      <c r="C33" s="5"/>
      <c r="D33" s="5"/>
      <c r="E33" s="5"/>
    </row>
    <row r="34" spans="1:5" x14ac:dyDescent="0.25">
      <c r="A34" s="5"/>
      <c r="B34" s="5"/>
      <c r="C34" s="5"/>
      <c r="D34" s="5"/>
      <c r="E34" s="5"/>
    </row>
    <row r="35" spans="1:5" x14ac:dyDescent="0.25">
      <c r="A35" s="5"/>
      <c r="B35" s="5"/>
      <c r="C35" s="5"/>
      <c r="D35" s="5"/>
      <c r="E35" s="5"/>
    </row>
    <row r="36" spans="1:5" x14ac:dyDescent="0.25">
      <c r="A36" s="5"/>
      <c r="B36" s="5"/>
      <c r="C36" s="5"/>
      <c r="D36" s="5"/>
      <c r="E36" s="5"/>
    </row>
    <row r="37" spans="1:5" x14ac:dyDescent="0.25">
      <c r="A37" s="5"/>
      <c r="B37" s="5"/>
      <c r="C37" s="5"/>
      <c r="D37" s="5"/>
      <c r="E37" s="5"/>
    </row>
    <row r="38" spans="1:5" x14ac:dyDescent="0.25">
      <c r="A38" s="5"/>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5D97C-7DD0-49FB-98DF-245E46BF6FCA}">
  <sheetPr filterMode="1">
    <tabColor rgb="FF00B050"/>
  </sheetPr>
  <dimension ref="A1:C38"/>
  <sheetViews>
    <sheetView tabSelected="1" workbookViewId="0">
      <selection activeCell="A4" sqref="A4:A27"/>
    </sheetView>
  </sheetViews>
  <sheetFormatPr defaultColWidth="101.28515625" defaultRowHeight="15" x14ac:dyDescent="0.25"/>
  <cols>
    <col min="1" max="1" width="57.7109375" bestFit="1" customWidth="1"/>
    <col min="2" max="2" width="35.140625" bestFit="1" customWidth="1"/>
    <col min="3" max="3" width="28.7109375" bestFit="1" customWidth="1"/>
    <col min="4" max="4" width="66.7109375" bestFit="1" customWidth="1"/>
    <col min="5" max="5" width="28.140625" bestFit="1" customWidth="1"/>
    <col min="6" max="6" width="29" bestFit="1" customWidth="1"/>
    <col min="7" max="7" width="57.7109375" bestFit="1" customWidth="1"/>
    <col min="8" max="8" width="19.5703125" bestFit="1" customWidth="1"/>
    <col min="9" max="9" width="24.28515625" bestFit="1" customWidth="1"/>
  </cols>
  <sheetData>
    <row r="1" spans="1:3" s="19" customFormat="1" x14ac:dyDescent="0.25">
      <c r="A1" s="42" t="s">
        <v>91</v>
      </c>
      <c r="B1" s="42"/>
      <c r="C1" s="42"/>
    </row>
    <row r="2" spans="1:3" s="19" customFormat="1" x14ac:dyDescent="0.25">
      <c r="A2" s="18" t="s">
        <v>92</v>
      </c>
      <c r="B2" s="18" t="s">
        <v>93</v>
      </c>
      <c r="C2" s="18" t="s">
        <v>94</v>
      </c>
    </row>
    <row r="3" spans="1:3" s="19" customFormat="1" hidden="1" x14ac:dyDescent="0.25">
      <c r="A3" s="22" t="s">
        <v>95</v>
      </c>
      <c r="B3" s="23" t="s">
        <v>96</v>
      </c>
      <c r="C3" s="24" t="s">
        <v>97</v>
      </c>
    </row>
    <row r="4" spans="1:3" s="19" customFormat="1" x14ac:dyDescent="0.25">
      <c r="A4" s="22" t="s">
        <v>98</v>
      </c>
      <c r="B4" s="23" t="s">
        <v>99</v>
      </c>
      <c r="C4" s="24" t="s">
        <v>100</v>
      </c>
    </row>
    <row r="5" spans="1:3" s="19" customFormat="1" x14ac:dyDescent="0.25">
      <c r="A5" s="21" t="s">
        <v>101</v>
      </c>
      <c r="B5" s="23" t="s">
        <v>99</v>
      </c>
      <c r="C5" s="24" t="s">
        <v>102</v>
      </c>
    </row>
    <row r="6" spans="1:3" s="19" customFormat="1" hidden="1" x14ac:dyDescent="0.25">
      <c r="A6" s="21" t="s">
        <v>103</v>
      </c>
      <c r="B6" s="23" t="s">
        <v>104</v>
      </c>
      <c r="C6" s="24" t="s">
        <v>105</v>
      </c>
    </row>
    <row r="7" spans="1:3" s="19" customFormat="1" x14ac:dyDescent="0.25">
      <c r="A7" s="21" t="s">
        <v>106</v>
      </c>
      <c r="B7" s="23" t="s">
        <v>99</v>
      </c>
      <c r="C7" s="24" t="s">
        <v>107</v>
      </c>
    </row>
    <row r="8" spans="1:3" s="19" customFormat="1" x14ac:dyDescent="0.25">
      <c r="A8" s="21" t="s">
        <v>108</v>
      </c>
      <c r="B8" s="23" t="s">
        <v>99</v>
      </c>
      <c r="C8" s="24" t="s">
        <v>109</v>
      </c>
    </row>
    <row r="9" spans="1:3" s="19" customFormat="1" x14ac:dyDescent="0.25">
      <c r="A9" s="21" t="s">
        <v>110</v>
      </c>
      <c r="B9" s="23" t="s">
        <v>99</v>
      </c>
      <c r="C9" s="24" t="s">
        <v>111</v>
      </c>
    </row>
    <row r="10" spans="1:3" s="19" customFormat="1" x14ac:dyDescent="0.25">
      <c r="A10" s="21" t="s">
        <v>112</v>
      </c>
      <c r="B10" s="23" t="s">
        <v>99</v>
      </c>
      <c r="C10" s="24" t="s">
        <v>113</v>
      </c>
    </row>
    <row r="11" spans="1:3" s="19" customFormat="1" x14ac:dyDescent="0.25">
      <c r="A11" s="21" t="s">
        <v>114</v>
      </c>
      <c r="B11" s="23" t="s">
        <v>99</v>
      </c>
      <c r="C11" s="24" t="s">
        <v>115</v>
      </c>
    </row>
    <row r="12" spans="1:3" s="19" customFormat="1" hidden="1" x14ac:dyDescent="0.25">
      <c r="A12" s="21" t="s">
        <v>116</v>
      </c>
      <c r="B12" s="23" t="s">
        <v>96</v>
      </c>
      <c r="C12" s="24" t="s">
        <v>117</v>
      </c>
    </row>
    <row r="13" spans="1:3" s="19" customFormat="1" x14ac:dyDescent="0.25">
      <c r="A13" s="22" t="s">
        <v>118</v>
      </c>
      <c r="B13" s="23" t="s">
        <v>99</v>
      </c>
      <c r="C13" s="24" t="s">
        <v>119</v>
      </c>
    </row>
    <row r="14" spans="1:3" s="19" customFormat="1" x14ac:dyDescent="0.25">
      <c r="A14" s="21" t="s">
        <v>120</v>
      </c>
      <c r="B14" s="23" t="s">
        <v>99</v>
      </c>
      <c r="C14" s="24" t="s">
        <v>121</v>
      </c>
    </row>
    <row r="15" spans="1:3" s="19" customFormat="1" x14ac:dyDescent="0.25">
      <c r="A15" s="21" t="s">
        <v>122</v>
      </c>
      <c r="B15" s="23" t="s">
        <v>99</v>
      </c>
      <c r="C15" s="24" t="s">
        <v>123</v>
      </c>
    </row>
    <row r="16" spans="1:3" s="19" customFormat="1" x14ac:dyDescent="0.25">
      <c r="A16" s="21" t="s">
        <v>124</v>
      </c>
      <c r="B16" s="23" t="s">
        <v>99</v>
      </c>
      <c r="C16" s="24" t="s">
        <v>125</v>
      </c>
    </row>
    <row r="17" spans="1:3" s="19" customFormat="1" x14ac:dyDescent="0.25">
      <c r="A17" s="21" t="s">
        <v>126</v>
      </c>
      <c r="B17" s="23" t="s">
        <v>99</v>
      </c>
      <c r="C17" s="24" t="s">
        <v>127</v>
      </c>
    </row>
    <row r="18" spans="1:3" s="19" customFormat="1" x14ac:dyDescent="0.25">
      <c r="A18" s="21" t="s">
        <v>128</v>
      </c>
      <c r="B18" s="23" t="s">
        <v>99</v>
      </c>
      <c r="C18" s="24" t="s">
        <v>129</v>
      </c>
    </row>
    <row r="19" spans="1:3" s="19" customFormat="1" x14ac:dyDescent="0.25">
      <c r="A19" s="21" t="s">
        <v>130</v>
      </c>
      <c r="B19" s="23" t="s">
        <v>99</v>
      </c>
      <c r="C19" s="24" t="s">
        <v>131</v>
      </c>
    </row>
    <row r="20" spans="1:3" s="19" customFormat="1" x14ac:dyDescent="0.25">
      <c r="A20" s="21" t="s">
        <v>132</v>
      </c>
      <c r="B20" s="23" t="s">
        <v>99</v>
      </c>
      <c r="C20" s="24" t="s">
        <v>133</v>
      </c>
    </row>
    <row r="21" spans="1:3" s="19" customFormat="1" x14ac:dyDescent="0.25">
      <c r="A21" s="21" t="s">
        <v>134</v>
      </c>
      <c r="B21" s="23" t="s">
        <v>99</v>
      </c>
      <c r="C21" s="24" t="s">
        <v>135</v>
      </c>
    </row>
    <row r="22" spans="1:3" s="19" customFormat="1" x14ac:dyDescent="0.25">
      <c r="A22" s="21" t="s">
        <v>136</v>
      </c>
      <c r="B22" s="23" t="s">
        <v>99</v>
      </c>
      <c r="C22" s="24" t="s">
        <v>137</v>
      </c>
    </row>
    <row r="23" spans="1:3" s="19" customFormat="1" x14ac:dyDescent="0.25">
      <c r="A23" s="21" t="s">
        <v>138</v>
      </c>
      <c r="B23" s="23" t="s">
        <v>99</v>
      </c>
      <c r="C23" s="24" t="s">
        <v>139</v>
      </c>
    </row>
    <row r="24" spans="1:3" s="19" customFormat="1" x14ac:dyDescent="0.25">
      <c r="A24" s="21" t="s">
        <v>140</v>
      </c>
      <c r="B24" s="23" t="s">
        <v>99</v>
      </c>
      <c r="C24" s="24" t="s">
        <v>141</v>
      </c>
    </row>
    <row r="25" spans="1:3" s="19" customFormat="1" x14ac:dyDescent="0.25">
      <c r="A25" s="21" t="s">
        <v>142</v>
      </c>
      <c r="B25" s="23" t="s">
        <v>99</v>
      </c>
      <c r="C25" s="24" t="s">
        <v>143</v>
      </c>
    </row>
    <row r="26" spans="1:3" s="19" customFormat="1" hidden="1" x14ac:dyDescent="0.25">
      <c r="A26" s="21" t="s">
        <v>144</v>
      </c>
      <c r="B26" s="23" t="s">
        <v>145</v>
      </c>
      <c r="C26" s="24" t="s">
        <v>146</v>
      </c>
    </row>
    <row r="27" spans="1:3" s="19" customFormat="1" x14ac:dyDescent="0.25">
      <c r="A27" s="21" t="s">
        <v>147</v>
      </c>
      <c r="B27" s="23" t="s">
        <v>99</v>
      </c>
      <c r="C27" s="24" t="s">
        <v>147</v>
      </c>
    </row>
    <row r="28" spans="1:3" s="19" customFormat="1" hidden="1" x14ac:dyDescent="0.25">
      <c r="A28" s="21" t="s">
        <v>148</v>
      </c>
      <c r="B28" s="23" t="s">
        <v>149</v>
      </c>
      <c r="C28" s="24" t="s">
        <v>150</v>
      </c>
    </row>
    <row r="29" spans="1:3" s="19" customFormat="1" hidden="1" x14ac:dyDescent="0.25">
      <c r="A29" s="21" t="s">
        <v>151</v>
      </c>
      <c r="B29" s="23" t="s">
        <v>152</v>
      </c>
      <c r="C29" s="24" t="s">
        <v>153</v>
      </c>
    </row>
    <row r="30" spans="1:3" s="19" customFormat="1" hidden="1" x14ac:dyDescent="0.25">
      <c r="A30" s="21" t="s">
        <v>154</v>
      </c>
      <c r="B30" s="23" t="s">
        <v>145</v>
      </c>
      <c r="C30" s="24" t="s">
        <v>155</v>
      </c>
    </row>
    <row r="31" spans="1:3" s="19" customFormat="1" hidden="1" x14ac:dyDescent="0.25">
      <c r="A31" s="21" t="s">
        <v>156</v>
      </c>
      <c r="B31" s="23" t="s">
        <v>145</v>
      </c>
      <c r="C31" s="24" t="s">
        <v>157</v>
      </c>
    </row>
    <row r="32" spans="1:3" s="19" customFormat="1" hidden="1" x14ac:dyDescent="0.25">
      <c r="A32" s="21" t="s">
        <v>158</v>
      </c>
      <c r="B32" s="23" t="s">
        <v>159</v>
      </c>
      <c r="C32" s="24" t="s">
        <v>160</v>
      </c>
    </row>
    <row r="33" spans="1:3" s="19" customFormat="1" hidden="1" x14ac:dyDescent="0.25">
      <c r="A33" s="21" t="s">
        <v>161</v>
      </c>
      <c r="B33" s="23" t="s">
        <v>159</v>
      </c>
      <c r="C33" s="24" t="s">
        <v>162</v>
      </c>
    </row>
    <row r="34" spans="1:3" s="19" customFormat="1" hidden="1" x14ac:dyDescent="0.25">
      <c r="A34" s="21" t="s">
        <v>163</v>
      </c>
      <c r="B34" s="23" t="s">
        <v>159</v>
      </c>
      <c r="C34" s="24" t="s">
        <v>164</v>
      </c>
    </row>
    <row r="35" spans="1:3" s="19" customFormat="1" hidden="1" x14ac:dyDescent="0.25">
      <c r="A35" s="21" t="s">
        <v>165</v>
      </c>
      <c r="B35" s="23" t="s">
        <v>159</v>
      </c>
      <c r="C35" s="24" t="s">
        <v>166</v>
      </c>
    </row>
    <row r="36" spans="1:3" s="19" customFormat="1" hidden="1" x14ac:dyDescent="0.25">
      <c r="A36" s="21" t="s">
        <v>167</v>
      </c>
      <c r="B36" s="23" t="s">
        <v>168</v>
      </c>
      <c r="C36" s="24" t="s">
        <v>169</v>
      </c>
    </row>
    <row r="37" spans="1:3" s="19" customFormat="1" x14ac:dyDescent="0.25"/>
    <row r="38" spans="1:3" s="19" customFormat="1" x14ac:dyDescent="0.25"/>
  </sheetData>
  <autoFilter ref="A2:C36" xr:uid="{E005D97C-7DD0-49FB-98DF-245E46BF6FCA}">
    <filterColumn colId="1">
      <filters>
        <filter val="VIM_1HEAD_2HEAD_VW"/>
      </filters>
    </filterColumn>
  </autoFilter>
  <mergeCells count="1">
    <mergeCell ref="A1:C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F277-758E-430F-8666-CF6785AD01B4}">
  <sheetPr>
    <tabColor rgb="FF00B050"/>
  </sheetPr>
  <dimension ref="A1:C27"/>
  <sheetViews>
    <sheetView workbookViewId="0">
      <selection activeCell="D44" sqref="D44"/>
    </sheetView>
  </sheetViews>
  <sheetFormatPr defaultRowHeight="15" x14ac:dyDescent="0.25"/>
  <cols>
    <col min="1" max="1" width="66.7109375" bestFit="1" customWidth="1"/>
    <col min="2" max="2" width="28.140625" bestFit="1" customWidth="1"/>
    <col min="3" max="3" width="36" customWidth="1"/>
  </cols>
  <sheetData>
    <row r="1" spans="1:3" x14ac:dyDescent="0.25">
      <c r="A1" s="42" t="s">
        <v>19</v>
      </c>
      <c r="B1" s="42"/>
      <c r="C1" s="42"/>
    </row>
    <row r="2" spans="1:3" x14ac:dyDescent="0.25">
      <c r="A2" s="18" t="s">
        <v>71</v>
      </c>
      <c r="B2" s="18" t="s">
        <v>93</v>
      </c>
      <c r="C2" s="18" t="s">
        <v>94</v>
      </c>
    </row>
    <row r="3" spans="1:3" x14ac:dyDescent="0.25">
      <c r="A3" s="22" t="s">
        <v>95</v>
      </c>
      <c r="B3" s="23" t="s">
        <v>96</v>
      </c>
      <c r="C3" s="41" t="s">
        <v>97</v>
      </c>
    </row>
    <row r="4" spans="1:3" x14ac:dyDescent="0.25">
      <c r="A4" s="22" t="s">
        <v>98</v>
      </c>
      <c r="B4" s="23" t="s">
        <v>99</v>
      </c>
      <c r="C4" s="41" t="s">
        <v>100</v>
      </c>
    </row>
    <row r="5" spans="1:3" x14ac:dyDescent="0.25">
      <c r="A5" s="22" t="s">
        <v>118</v>
      </c>
      <c r="B5" s="23" t="s">
        <v>99</v>
      </c>
      <c r="C5" s="41" t="s">
        <v>119</v>
      </c>
    </row>
    <row r="6" spans="1:3" x14ac:dyDescent="0.25">
      <c r="A6" s="28" t="s">
        <v>126</v>
      </c>
      <c r="B6" s="23" t="s">
        <v>99</v>
      </c>
      <c r="C6" s="41" t="s">
        <v>127</v>
      </c>
    </row>
    <row r="7" spans="1:3" x14ac:dyDescent="0.25">
      <c r="A7" s="28" t="s">
        <v>124</v>
      </c>
      <c r="B7" s="23" t="s">
        <v>99</v>
      </c>
      <c r="C7" s="41" t="s">
        <v>125</v>
      </c>
    </row>
    <row r="8" spans="1:3" x14ac:dyDescent="0.25">
      <c r="A8" s="28" t="s">
        <v>114</v>
      </c>
      <c r="B8" s="23" t="s">
        <v>99</v>
      </c>
      <c r="C8" s="41" t="s">
        <v>115</v>
      </c>
    </row>
    <row r="9" spans="1:3" x14ac:dyDescent="0.25">
      <c r="A9" s="28" t="s">
        <v>101</v>
      </c>
      <c r="B9" s="23" t="s">
        <v>99</v>
      </c>
      <c r="C9" s="41" t="s">
        <v>102</v>
      </c>
    </row>
    <row r="10" spans="1:3" x14ac:dyDescent="0.25">
      <c r="A10" s="28" t="s">
        <v>132</v>
      </c>
      <c r="B10" s="23" t="s">
        <v>99</v>
      </c>
      <c r="C10" s="41" t="s">
        <v>133</v>
      </c>
    </row>
    <row r="11" spans="1:3" x14ac:dyDescent="0.25">
      <c r="A11" s="28" t="s">
        <v>108</v>
      </c>
      <c r="B11" s="23" t="s">
        <v>99</v>
      </c>
      <c r="C11" s="24" t="s">
        <v>109</v>
      </c>
    </row>
    <row r="12" spans="1:3" x14ac:dyDescent="0.25">
      <c r="A12" s="28" t="s">
        <v>110</v>
      </c>
      <c r="B12" s="23" t="s">
        <v>99</v>
      </c>
      <c r="C12" s="24" t="s">
        <v>111</v>
      </c>
    </row>
    <row r="13" spans="1:3" x14ac:dyDescent="0.25">
      <c r="A13" s="28" t="s">
        <v>144</v>
      </c>
      <c r="B13" s="23" t="s">
        <v>145</v>
      </c>
      <c r="C13" s="24" t="s">
        <v>146</v>
      </c>
    </row>
    <row r="14" spans="1:3" x14ac:dyDescent="0.25">
      <c r="A14" s="28" t="s">
        <v>112</v>
      </c>
      <c r="B14" s="23" t="s">
        <v>99</v>
      </c>
      <c r="C14" s="24" t="s">
        <v>113</v>
      </c>
    </row>
    <row r="15" spans="1:3" x14ac:dyDescent="0.25">
      <c r="A15" s="28" t="s">
        <v>134</v>
      </c>
      <c r="B15" s="23" t="s">
        <v>99</v>
      </c>
      <c r="C15" s="24" t="s">
        <v>135</v>
      </c>
    </row>
    <row r="16" spans="1:3" x14ac:dyDescent="0.25">
      <c r="A16" s="28" t="s">
        <v>128</v>
      </c>
      <c r="B16" s="23" t="s">
        <v>99</v>
      </c>
      <c r="C16" s="24" t="s">
        <v>129</v>
      </c>
    </row>
    <row r="17" spans="1:3" x14ac:dyDescent="0.25">
      <c r="A17" s="28" t="s">
        <v>130</v>
      </c>
      <c r="B17" s="23" t="s">
        <v>99</v>
      </c>
      <c r="C17" s="24" t="s">
        <v>131</v>
      </c>
    </row>
    <row r="18" spans="1:3" x14ac:dyDescent="0.25">
      <c r="A18" s="28" t="s">
        <v>103</v>
      </c>
      <c r="B18" s="23" t="s">
        <v>170</v>
      </c>
      <c r="C18" s="24" t="s">
        <v>105</v>
      </c>
    </row>
    <row r="19" spans="1:3" x14ac:dyDescent="0.25">
      <c r="A19" s="28" t="s">
        <v>142</v>
      </c>
      <c r="B19" s="23" t="s">
        <v>99</v>
      </c>
      <c r="C19" s="24" t="s">
        <v>143</v>
      </c>
    </row>
    <row r="20" spans="1:3" x14ac:dyDescent="0.25">
      <c r="A20" s="28" t="s">
        <v>171</v>
      </c>
      <c r="B20" s="23" t="s">
        <v>170</v>
      </c>
      <c r="C20" s="24" t="s">
        <v>172</v>
      </c>
    </row>
    <row r="21" spans="1:3" x14ac:dyDescent="0.25">
      <c r="A21" s="28" t="s">
        <v>173</v>
      </c>
      <c r="B21" s="23" t="s">
        <v>152</v>
      </c>
      <c r="C21" s="24" t="s">
        <v>174</v>
      </c>
    </row>
    <row r="22" spans="1:3" x14ac:dyDescent="0.25">
      <c r="A22" s="28" t="s">
        <v>175</v>
      </c>
      <c r="B22" s="25" t="s">
        <v>152</v>
      </c>
      <c r="C22" s="26" t="s">
        <v>176</v>
      </c>
    </row>
    <row r="23" spans="1:3" x14ac:dyDescent="0.25">
      <c r="A23" s="28" t="s">
        <v>177</v>
      </c>
      <c r="B23" s="23" t="s">
        <v>152</v>
      </c>
      <c r="C23" s="24" t="s">
        <v>178</v>
      </c>
    </row>
    <row r="24" spans="1:3" x14ac:dyDescent="0.25">
      <c r="A24" s="28" t="s">
        <v>179</v>
      </c>
      <c r="B24" s="23" t="s">
        <v>152</v>
      </c>
      <c r="C24" s="24" t="s">
        <v>180</v>
      </c>
    </row>
    <row r="25" spans="1:3" x14ac:dyDescent="0.25">
      <c r="A25" s="28" t="s">
        <v>181</v>
      </c>
      <c r="B25" s="23" t="s">
        <v>152</v>
      </c>
      <c r="C25" s="24" t="s">
        <v>182</v>
      </c>
    </row>
    <row r="26" spans="1:3" x14ac:dyDescent="0.25">
      <c r="A26" s="28" t="s">
        <v>183</v>
      </c>
      <c r="B26" s="23" t="s">
        <v>152</v>
      </c>
      <c r="C26" s="24" t="s">
        <v>184</v>
      </c>
    </row>
    <row r="27" spans="1:3" x14ac:dyDescent="0.25">
      <c r="A27" s="28" t="s">
        <v>185</v>
      </c>
      <c r="B27" s="23" t="s">
        <v>152</v>
      </c>
      <c r="C27" s="24" t="s">
        <v>186</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4F558-2588-41A7-B006-E84B252FC71A}">
  <sheetPr>
    <tabColor rgb="FF00B050"/>
  </sheetPr>
  <dimension ref="A1:C32"/>
  <sheetViews>
    <sheetView zoomScale="70" zoomScaleNormal="70" workbookViewId="0">
      <selection activeCell="I26" sqref="I26"/>
    </sheetView>
  </sheetViews>
  <sheetFormatPr defaultRowHeight="15" x14ac:dyDescent="0.25"/>
  <cols>
    <col min="1" max="1" width="62.85546875" customWidth="1"/>
    <col min="2" max="2" width="26.140625" customWidth="1"/>
    <col min="3" max="3" width="25.5703125" customWidth="1"/>
  </cols>
  <sheetData>
    <row r="1" spans="1:3" x14ac:dyDescent="0.25">
      <c r="A1" s="18" t="s">
        <v>187</v>
      </c>
      <c r="B1" s="18" t="s">
        <v>188</v>
      </c>
      <c r="C1" s="18" t="s">
        <v>94</v>
      </c>
    </row>
    <row r="2" spans="1:3" x14ac:dyDescent="0.25">
      <c r="A2" s="22" t="s">
        <v>95</v>
      </c>
      <c r="B2" s="19" t="s">
        <v>19</v>
      </c>
      <c r="C2" s="24" t="s">
        <v>97</v>
      </c>
    </row>
    <row r="3" spans="1:3" x14ac:dyDescent="0.25">
      <c r="A3" s="22" t="s">
        <v>98</v>
      </c>
      <c r="B3" s="19" t="s">
        <v>19</v>
      </c>
      <c r="C3" s="24" t="s">
        <v>100</v>
      </c>
    </row>
    <row r="4" spans="1:3" x14ac:dyDescent="0.25">
      <c r="A4" s="22" t="s">
        <v>118</v>
      </c>
      <c r="B4" s="19" t="s">
        <v>19</v>
      </c>
      <c r="C4" s="24" t="s">
        <v>119</v>
      </c>
    </row>
    <row r="5" spans="1:3" x14ac:dyDescent="0.25">
      <c r="A5" s="21" t="s">
        <v>126</v>
      </c>
      <c r="B5" s="19" t="s">
        <v>19</v>
      </c>
      <c r="C5" s="24" t="s">
        <v>127</v>
      </c>
    </row>
    <row r="6" spans="1:3" x14ac:dyDescent="0.25">
      <c r="A6" s="20" t="s">
        <v>189</v>
      </c>
      <c r="B6" s="19" t="s">
        <v>19</v>
      </c>
      <c r="C6" s="24" t="s">
        <v>190</v>
      </c>
    </row>
    <row r="7" spans="1:3" x14ac:dyDescent="0.25">
      <c r="A7" s="21" t="s">
        <v>124</v>
      </c>
      <c r="B7" s="19" t="s">
        <v>191</v>
      </c>
      <c r="C7" s="24" t="s">
        <v>125</v>
      </c>
    </row>
    <row r="8" spans="1:3" x14ac:dyDescent="0.25">
      <c r="A8" s="20" t="s">
        <v>192</v>
      </c>
      <c r="B8" s="19" t="s">
        <v>19</v>
      </c>
      <c r="C8" s="24" t="s">
        <v>193</v>
      </c>
    </row>
    <row r="9" spans="1:3" x14ac:dyDescent="0.25">
      <c r="A9" s="21" t="s">
        <v>114</v>
      </c>
      <c r="B9" s="19" t="s">
        <v>191</v>
      </c>
      <c r="C9" s="24" t="s">
        <v>115</v>
      </c>
    </row>
    <row r="10" spans="1:3" x14ac:dyDescent="0.25">
      <c r="A10" s="20" t="s">
        <v>194</v>
      </c>
      <c r="B10" s="19" t="s">
        <v>19</v>
      </c>
      <c r="C10" s="24" t="s">
        <v>195</v>
      </c>
    </row>
    <row r="11" spans="1:3" x14ac:dyDescent="0.25">
      <c r="A11" s="21" t="s">
        <v>101</v>
      </c>
      <c r="B11" s="19" t="s">
        <v>191</v>
      </c>
      <c r="C11" s="24" t="s">
        <v>102</v>
      </c>
    </row>
    <row r="12" spans="1:3" x14ac:dyDescent="0.25">
      <c r="A12" s="20" t="s">
        <v>196</v>
      </c>
      <c r="B12" s="19" t="s">
        <v>19</v>
      </c>
      <c r="C12" s="24" t="s">
        <v>197</v>
      </c>
    </row>
    <row r="13" spans="1:3" x14ac:dyDescent="0.25">
      <c r="A13" s="20" t="s">
        <v>198</v>
      </c>
      <c r="B13" s="19" t="s">
        <v>19</v>
      </c>
      <c r="C13" s="24" t="s">
        <v>199</v>
      </c>
    </row>
    <row r="14" spans="1:3" x14ac:dyDescent="0.25">
      <c r="A14" s="20" t="s">
        <v>200</v>
      </c>
      <c r="B14" s="19" t="s">
        <v>19</v>
      </c>
      <c r="C14" s="24" t="s">
        <v>201</v>
      </c>
    </row>
    <row r="15" spans="1:3" x14ac:dyDescent="0.25">
      <c r="A15" s="21" t="s">
        <v>132</v>
      </c>
      <c r="B15" s="19" t="s">
        <v>191</v>
      </c>
      <c r="C15" s="24" t="s">
        <v>133</v>
      </c>
    </row>
    <row r="16" spans="1:3" x14ac:dyDescent="0.25">
      <c r="A16" s="21" t="s">
        <v>108</v>
      </c>
      <c r="B16" s="19" t="s">
        <v>191</v>
      </c>
      <c r="C16" s="24" t="s">
        <v>109</v>
      </c>
    </row>
    <row r="17" spans="1:3" x14ac:dyDescent="0.25">
      <c r="A17" s="21" t="s">
        <v>110</v>
      </c>
      <c r="B17" s="19" t="s">
        <v>191</v>
      </c>
      <c r="C17" s="24" t="s">
        <v>111</v>
      </c>
    </row>
    <row r="18" spans="1:3" x14ac:dyDescent="0.25">
      <c r="A18" s="21" t="s">
        <v>202</v>
      </c>
      <c r="B18" s="19" t="s">
        <v>191</v>
      </c>
      <c r="C18" s="24" t="s">
        <v>146</v>
      </c>
    </row>
    <row r="19" spans="1:3" x14ac:dyDescent="0.25">
      <c r="A19" s="20" t="s">
        <v>203</v>
      </c>
      <c r="B19" s="19" t="s">
        <v>19</v>
      </c>
      <c r="C19" s="24" t="s">
        <v>204</v>
      </c>
    </row>
    <row r="20" spans="1:3" x14ac:dyDescent="0.25">
      <c r="A20" s="21" t="s">
        <v>112</v>
      </c>
      <c r="B20" s="19" t="s">
        <v>191</v>
      </c>
      <c r="C20" s="24" t="s">
        <v>205</v>
      </c>
    </row>
    <row r="21" spans="1:3" x14ac:dyDescent="0.25">
      <c r="A21" s="21" t="s">
        <v>206</v>
      </c>
      <c r="B21" s="19" t="s">
        <v>191</v>
      </c>
      <c r="C21" s="24" t="s">
        <v>150</v>
      </c>
    </row>
    <row r="22" spans="1:3" x14ac:dyDescent="0.25">
      <c r="A22" s="20" t="s">
        <v>207</v>
      </c>
      <c r="B22" s="19" t="s">
        <v>19</v>
      </c>
      <c r="C22" s="24" t="s">
        <v>208</v>
      </c>
    </row>
    <row r="23" spans="1:3" x14ac:dyDescent="0.25">
      <c r="A23" s="21" t="s">
        <v>134</v>
      </c>
      <c r="B23" s="19" t="s">
        <v>191</v>
      </c>
      <c r="C23" s="24" t="s">
        <v>135</v>
      </c>
    </row>
    <row r="24" spans="1:3" x14ac:dyDescent="0.25">
      <c r="A24" s="20" t="s">
        <v>209</v>
      </c>
      <c r="B24" s="19" t="s">
        <v>19</v>
      </c>
      <c r="C24" s="24" t="s">
        <v>210</v>
      </c>
    </row>
    <row r="25" spans="1:3" x14ac:dyDescent="0.25">
      <c r="A25" s="21" t="s">
        <v>128</v>
      </c>
      <c r="B25" s="19" t="s">
        <v>191</v>
      </c>
      <c r="C25" s="24" t="s">
        <v>129</v>
      </c>
    </row>
    <row r="26" spans="1:3" x14ac:dyDescent="0.25">
      <c r="A26" s="20" t="s">
        <v>211</v>
      </c>
      <c r="B26" s="19" t="s">
        <v>19</v>
      </c>
      <c r="C26" s="24" t="s">
        <v>212</v>
      </c>
    </row>
    <row r="27" spans="1:3" x14ac:dyDescent="0.25">
      <c r="A27" s="21" t="s">
        <v>130</v>
      </c>
      <c r="B27" s="19" t="s">
        <v>191</v>
      </c>
      <c r="C27" s="24" t="s">
        <v>131</v>
      </c>
    </row>
    <row r="28" spans="1:3" x14ac:dyDescent="0.25">
      <c r="A28" s="20" t="s">
        <v>213</v>
      </c>
      <c r="B28" s="19" t="s">
        <v>19</v>
      </c>
      <c r="C28" s="24" t="s">
        <v>214</v>
      </c>
    </row>
    <row r="29" spans="1:3" x14ac:dyDescent="0.25">
      <c r="A29" s="21" t="s">
        <v>103</v>
      </c>
      <c r="B29" s="19" t="s">
        <v>191</v>
      </c>
      <c r="C29" s="24" t="s">
        <v>105</v>
      </c>
    </row>
    <row r="30" spans="1:3" x14ac:dyDescent="0.25">
      <c r="A30" s="30" t="s">
        <v>1</v>
      </c>
      <c r="B30" s="19" t="s">
        <v>215</v>
      </c>
      <c r="C30" s="24" t="s">
        <v>1</v>
      </c>
    </row>
    <row r="31" spans="1:3" x14ac:dyDescent="0.25">
      <c r="A31" s="30" t="s">
        <v>216</v>
      </c>
      <c r="B31" s="19" t="s">
        <v>215</v>
      </c>
      <c r="C31" s="24" t="s">
        <v>217</v>
      </c>
    </row>
    <row r="32" spans="1:3" x14ac:dyDescent="0.25">
      <c r="A32" s="21" t="s">
        <v>218</v>
      </c>
      <c r="B32" s="19" t="s">
        <v>191</v>
      </c>
      <c r="C32" s="24" t="s">
        <v>153</v>
      </c>
    </row>
  </sheetData>
  <autoFilter ref="A1:C32" xr:uid="{58E4F558-2588-41A7-B006-E84B252FC71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98EBB-0A2B-4826-8B02-3A678B9F66FC}">
  <sheetPr>
    <tabColor rgb="FFFFC000"/>
  </sheetPr>
  <dimension ref="A1:D51"/>
  <sheetViews>
    <sheetView topLeftCell="A24" workbookViewId="0">
      <selection activeCell="E30" sqref="E30"/>
    </sheetView>
  </sheetViews>
  <sheetFormatPr defaultColWidth="44.28515625" defaultRowHeight="15" x14ac:dyDescent="0.25"/>
  <cols>
    <col min="1" max="1" width="59.140625" customWidth="1"/>
    <col min="2" max="2" width="14.5703125" bestFit="1" customWidth="1"/>
    <col min="3" max="3" width="49" customWidth="1"/>
    <col min="4" max="4" width="14.5703125" bestFit="1" customWidth="1"/>
  </cols>
  <sheetData>
    <row r="1" spans="1:4" x14ac:dyDescent="0.25">
      <c r="A1" s="43" t="s">
        <v>187</v>
      </c>
      <c r="B1" s="43"/>
      <c r="C1" s="43" t="s">
        <v>219</v>
      </c>
      <c r="D1" s="43"/>
    </row>
    <row r="2" spans="1:4" x14ac:dyDescent="0.25">
      <c r="A2" s="6" t="s">
        <v>220</v>
      </c>
      <c r="B2" t="s">
        <v>221</v>
      </c>
      <c r="D2" t="s">
        <v>221</v>
      </c>
    </row>
    <row r="3" spans="1:4" x14ac:dyDescent="0.25">
      <c r="A3" s="5" t="s">
        <v>222</v>
      </c>
      <c r="B3" s="5">
        <v>13</v>
      </c>
    </row>
    <row r="4" spans="1:4" x14ac:dyDescent="0.25">
      <c r="A4" s="5" t="s">
        <v>223</v>
      </c>
      <c r="B4" s="5">
        <v>192</v>
      </c>
    </row>
    <row r="5" spans="1:4" x14ac:dyDescent="0.25">
      <c r="A5" s="5" t="s">
        <v>224</v>
      </c>
      <c r="B5" s="5">
        <v>1083</v>
      </c>
    </row>
    <row r="6" spans="1:4" ht="15.75" thickBot="1" x14ac:dyDescent="0.3">
      <c r="A6" s="31" t="s">
        <v>225</v>
      </c>
      <c r="B6" s="31">
        <f>SUM(B3:B5)</f>
        <v>1288</v>
      </c>
      <c r="C6" s="32" t="s">
        <v>225</v>
      </c>
      <c r="D6" s="32">
        <v>1272</v>
      </c>
    </row>
    <row r="7" spans="1:4" ht="15.75" thickTop="1" x14ac:dyDescent="0.25"/>
    <row r="8" spans="1:4" x14ac:dyDescent="0.25">
      <c r="A8" s="6" t="s">
        <v>226</v>
      </c>
    </row>
    <row r="9" spans="1:4" x14ac:dyDescent="0.25">
      <c r="A9" s="5" t="s">
        <v>227</v>
      </c>
      <c r="B9" s="5">
        <v>184</v>
      </c>
    </row>
    <row r="10" spans="1:4" x14ac:dyDescent="0.25">
      <c r="A10" s="5" t="s">
        <v>228</v>
      </c>
      <c r="B10" s="5">
        <v>42</v>
      </c>
    </row>
    <row r="11" spans="1:4" ht="15.75" thickBot="1" x14ac:dyDescent="0.3">
      <c r="A11" s="32" t="s">
        <v>229</v>
      </c>
      <c r="B11" s="31">
        <f>SUM(B9:B10)</f>
        <v>226</v>
      </c>
      <c r="C11" s="32" t="s">
        <v>229</v>
      </c>
      <c r="D11" s="32">
        <v>267</v>
      </c>
    </row>
    <row r="12" spans="1:4" ht="15.75" thickTop="1" x14ac:dyDescent="0.25"/>
    <row r="13" spans="1:4" x14ac:dyDescent="0.25">
      <c r="A13" s="4" t="s">
        <v>230</v>
      </c>
    </row>
    <row r="14" spans="1:4" ht="15.75" thickBot="1" x14ac:dyDescent="0.3">
      <c r="A14" s="32" t="s">
        <v>231</v>
      </c>
      <c r="B14" s="32">
        <v>147</v>
      </c>
      <c r="C14" s="32" t="s">
        <v>232</v>
      </c>
      <c r="D14" s="32">
        <v>179</v>
      </c>
    </row>
    <row r="15" spans="1:4" ht="15.75" thickTop="1" x14ac:dyDescent="0.25"/>
    <row r="16" spans="1:4" x14ac:dyDescent="0.25">
      <c r="A16" s="4" t="s">
        <v>102</v>
      </c>
    </row>
    <row r="17" spans="1:4" x14ac:dyDescent="0.25">
      <c r="A17" s="5" t="s">
        <v>233</v>
      </c>
      <c r="B17" s="5">
        <v>124</v>
      </c>
    </row>
    <row r="18" spans="1:4" x14ac:dyDescent="0.25">
      <c r="A18" s="5" t="s">
        <v>234</v>
      </c>
      <c r="B18" s="5">
        <v>151</v>
      </c>
    </row>
    <row r="19" spans="1:4" ht="15.75" thickBot="1" x14ac:dyDescent="0.3">
      <c r="A19" s="32" t="s">
        <v>235</v>
      </c>
      <c r="B19" s="31">
        <f>SUM(B17:B18)</f>
        <v>275</v>
      </c>
      <c r="C19" s="32" t="s">
        <v>235</v>
      </c>
      <c r="D19" s="32">
        <v>410</v>
      </c>
    </row>
    <row r="20" spans="1:4" ht="15.75" thickTop="1" x14ac:dyDescent="0.25">
      <c r="A20" s="5"/>
      <c r="C20" s="5"/>
      <c r="D20" s="5"/>
    </row>
    <row r="21" spans="1:4" x14ac:dyDescent="0.25">
      <c r="A21" s="6" t="s">
        <v>236</v>
      </c>
    </row>
    <row r="22" spans="1:4" x14ac:dyDescent="0.25">
      <c r="A22" s="5" t="s">
        <v>237</v>
      </c>
      <c r="B22" s="5">
        <v>40</v>
      </c>
    </row>
    <row r="23" spans="1:4" x14ac:dyDescent="0.25">
      <c r="A23" s="5" t="s">
        <v>238</v>
      </c>
      <c r="B23" s="5">
        <v>38</v>
      </c>
    </row>
    <row r="24" spans="1:4" ht="15.75" thickBot="1" x14ac:dyDescent="0.3">
      <c r="A24" s="32" t="s">
        <v>239</v>
      </c>
      <c r="B24" s="31">
        <f>SUM(B22:B23)</f>
        <v>78</v>
      </c>
      <c r="C24" s="32" t="s">
        <v>239</v>
      </c>
      <c r="D24" s="32">
        <v>87</v>
      </c>
    </row>
    <row r="25" spans="1:4" ht="15.75" thickTop="1" x14ac:dyDescent="0.25">
      <c r="A25" s="5"/>
      <c r="C25" s="5"/>
      <c r="D25" s="5"/>
    </row>
    <row r="26" spans="1:4" x14ac:dyDescent="0.25">
      <c r="A26" s="4" t="s">
        <v>129</v>
      </c>
    </row>
    <row r="27" spans="1:4" x14ac:dyDescent="0.25">
      <c r="A27" s="5" t="s">
        <v>240</v>
      </c>
      <c r="B27" s="5">
        <v>395</v>
      </c>
    </row>
    <row r="28" spans="1:4" x14ac:dyDescent="0.25">
      <c r="A28" s="5" t="s">
        <v>241</v>
      </c>
      <c r="B28" s="5">
        <v>147</v>
      </c>
    </row>
    <row r="29" spans="1:4" ht="15.75" thickBot="1" x14ac:dyDescent="0.3">
      <c r="A29" s="32" t="s">
        <v>242</v>
      </c>
      <c r="B29" s="31">
        <f>SUM(B27:B28)</f>
        <v>542</v>
      </c>
      <c r="C29" s="32" t="s">
        <v>242</v>
      </c>
      <c r="D29" s="32">
        <v>432</v>
      </c>
    </row>
    <row r="30" spans="1:4" ht="15.75" thickTop="1" x14ac:dyDescent="0.25"/>
    <row r="31" spans="1:4" x14ac:dyDescent="0.25">
      <c r="A31" s="4" t="s">
        <v>243</v>
      </c>
    </row>
    <row r="32" spans="1:4" x14ac:dyDescent="0.25">
      <c r="A32" s="5" t="s">
        <v>244</v>
      </c>
      <c r="B32" s="5">
        <v>170</v>
      </c>
    </row>
    <row r="33" spans="1:4" x14ac:dyDescent="0.25">
      <c r="A33" s="5" t="s">
        <v>245</v>
      </c>
      <c r="B33" s="5">
        <v>102</v>
      </c>
    </row>
    <row r="34" spans="1:4" x14ac:dyDescent="0.25">
      <c r="A34" s="5" t="s">
        <v>246</v>
      </c>
      <c r="B34" s="5">
        <v>51</v>
      </c>
    </row>
    <row r="35" spans="1:4" x14ac:dyDescent="0.25">
      <c r="A35" s="5" t="s">
        <v>247</v>
      </c>
      <c r="B35" s="5">
        <v>164</v>
      </c>
    </row>
    <row r="36" spans="1:4" ht="15.75" thickBot="1" x14ac:dyDescent="0.3">
      <c r="A36" s="32" t="s">
        <v>248</v>
      </c>
      <c r="B36" s="31">
        <f>SUM(B32:B35)</f>
        <v>487</v>
      </c>
      <c r="C36" s="32" t="s">
        <v>248</v>
      </c>
      <c r="D36" s="32">
        <v>621</v>
      </c>
    </row>
    <row r="37" spans="1:4" ht="15.75" thickTop="1" x14ac:dyDescent="0.25"/>
    <row r="38" spans="1:4" x14ac:dyDescent="0.25">
      <c r="A38" s="4" t="s">
        <v>249</v>
      </c>
    </row>
    <row r="39" spans="1:4" x14ac:dyDescent="0.25">
      <c r="A39" s="5" t="s">
        <v>250</v>
      </c>
      <c r="B39" s="5">
        <v>116</v>
      </c>
    </row>
    <row r="40" spans="1:4" x14ac:dyDescent="0.25">
      <c r="A40" s="5" t="s">
        <v>251</v>
      </c>
      <c r="B40" s="5">
        <v>97</v>
      </c>
    </row>
    <row r="41" spans="1:4" ht="15.75" thickBot="1" x14ac:dyDescent="0.3">
      <c r="A41" s="32" t="s">
        <v>252</v>
      </c>
      <c r="B41" s="32">
        <f>SUM(B39:B40)</f>
        <v>213</v>
      </c>
      <c r="C41" s="32" t="s">
        <v>252</v>
      </c>
      <c r="D41" s="32">
        <v>364</v>
      </c>
    </row>
    <row r="42" spans="1:4" ht="15.75" thickTop="1" x14ac:dyDescent="0.25"/>
    <row r="43" spans="1:4" x14ac:dyDescent="0.25">
      <c r="A43" s="6" t="s">
        <v>253</v>
      </c>
    </row>
    <row r="44" spans="1:4" ht="15.75" thickBot="1" x14ac:dyDescent="0.3">
      <c r="A44" s="32" t="s">
        <v>254</v>
      </c>
      <c r="B44" s="32">
        <v>80</v>
      </c>
      <c r="C44" s="32" t="s">
        <v>254</v>
      </c>
      <c r="D44" s="32">
        <v>634</v>
      </c>
    </row>
    <row r="45" spans="1:4" ht="15.75" thickTop="1" x14ac:dyDescent="0.25"/>
    <row r="46" spans="1:4" x14ac:dyDescent="0.25">
      <c r="A46" s="4" t="s">
        <v>255</v>
      </c>
    </row>
    <row r="47" spans="1:4" x14ac:dyDescent="0.25">
      <c r="A47" s="5" t="s">
        <v>256</v>
      </c>
      <c r="B47" s="5">
        <v>311</v>
      </c>
    </row>
    <row r="48" spans="1:4" x14ac:dyDescent="0.25">
      <c r="A48" s="5" t="s">
        <v>257</v>
      </c>
      <c r="B48" s="5">
        <v>75</v>
      </c>
    </row>
    <row r="49" spans="1:4" x14ac:dyDescent="0.25">
      <c r="A49" s="5" t="s">
        <v>258</v>
      </c>
      <c r="B49" s="5">
        <v>129</v>
      </c>
    </row>
    <row r="50" spans="1:4" ht="15.75" thickBot="1" x14ac:dyDescent="0.3">
      <c r="A50" s="32" t="s">
        <v>259</v>
      </c>
      <c r="B50" s="31">
        <f>SUM(B47:B49)</f>
        <v>515</v>
      </c>
      <c r="C50" s="32" t="s">
        <v>259</v>
      </c>
      <c r="D50" s="32">
        <v>1883</v>
      </c>
    </row>
    <row r="51" spans="1:4" ht="15.75" thickTop="1" x14ac:dyDescent="0.25"/>
  </sheetData>
  <mergeCells count="2">
    <mergeCell ref="A1:B1"/>
    <mergeCell ref="C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06A23139AC75445921993DF086079A7" ma:contentTypeVersion="8" ma:contentTypeDescription="Create a new document." ma:contentTypeScope="" ma:versionID="54ba5a5d7c64264c316e659f52c71ab6">
  <xsd:schema xmlns:xsd="http://www.w3.org/2001/XMLSchema" xmlns:xs="http://www.w3.org/2001/XMLSchema" xmlns:p="http://schemas.microsoft.com/office/2006/metadata/properties" xmlns:ns2="52c6b0ae-7931-4655-bf24-ad7d03200cf3" targetNamespace="http://schemas.microsoft.com/office/2006/metadata/properties" ma:root="true" ma:fieldsID="a98f5e44ddb6c31033d832010f4989a2" ns2:_="">
    <xsd:import namespace="52c6b0ae-7931-4655-bf24-ad7d03200c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c6b0ae-7931-4655-bf24-ad7d03200c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000F96-D284-45FF-9371-AFF63FCEFBD8}">
  <ds:schemaRefs>
    <ds:schemaRef ds:uri="http://schemas.microsoft.com/sharepoint/v3/contenttype/forms"/>
  </ds:schemaRefs>
</ds:datastoreItem>
</file>

<file path=customXml/itemProps2.xml><?xml version="1.0" encoding="utf-8"?>
<ds:datastoreItem xmlns:ds="http://schemas.openxmlformats.org/officeDocument/2006/customXml" ds:itemID="{8982AA50-36A6-48AE-9948-16B13A838C0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1607E37-2565-4C36-B8D7-E594E9005D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c6b0ae-7931-4655-bf24-ad7d03200c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Key Findings</vt:lpstr>
      <vt:lpstr>Glossary</vt:lpstr>
      <vt:lpstr>Table Legends</vt:lpstr>
      <vt:lpstr>Script Name</vt:lpstr>
      <vt:lpstr>Variable</vt:lpstr>
      <vt:lpstr>Transactions Master Data</vt:lpstr>
      <vt:lpstr>Original Invoice Data</vt:lpstr>
      <vt:lpstr>Changed Invoice Data</vt:lpstr>
      <vt:lpstr>A001 vs A007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Jeet Kadam</dc:creator>
  <cp:keywords/>
  <dc:description/>
  <cp:lastModifiedBy>Jeet Kadam</cp:lastModifiedBy>
  <cp:revision/>
  <dcterms:created xsi:type="dcterms:W3CDTF">2025-06-20T06:24:08Z</dcterms:created>
  <dcterms:modified xsi:type="dcterms:W3CDTF">2025-07-23T01:20:48Z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0x010100606A23139AC75445921993DF086079A7</vt:lpwstr>
  </property>
</Properties>
</file>